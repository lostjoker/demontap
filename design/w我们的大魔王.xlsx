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635" tabRatio="869" firstSheet="1" activeTab="7"/>
  </bookViews>
  <sheets>
    <sheet name="工作簿索引" sheetId="35" r:id="rId1"/>
    <sheet name="基本数据" sheetId="14" r:id="rId2"/>
    <sheet name="Demon" sheetId="1" r:id="rId3"/>
    <sheet name="DemonLevel" sheetId="3" r:id="rId4"/>
    <sheet name="DemonSkill" sheetId="15" r:id="rId5"/>
    <sheet name="DemonSkillEffect" sheetId="42" r:id="rId6"/>
    <sheet name="DemonSkillLevel" sheetId="38" r:id="rId7"/>
    <sheet name="技能平衡" sheetId="30" r:id="rId8"/>
  </sheets>
  <calcPr calcId="144525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不会在游戏中出现的角色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允许最多重复的名额</t>
        </r>
      </text>
    </comment>
  </commentList>
</comments>
</file>

<file path=xl/comments2.xml><?xml version="1.0" encoding="utf-8"?>
<comments xmlns="http://schemas.openxmlformats.org/spreadsheetml/2006/main">
  <authors>
    <author>微软用户</author>
  </authors>
  <commentList>
    <comment ref="C1" authorId="0">
      <text>
        <r>
          <rPr>
            <sz val="9"/>
            <rFont val="宋体"/>
            <charset val="134"/>
          </rPr>
          <t>0-4</t>
        </r>
      </text>
    </comment>
  </commentList>
</comments>
</file>

<file path=xl/comments3.xml><?xml version="1.0" encoding="utf-8"?>
<comments xmlns="http://schemas.openxmlformats.org/spreadsheetml/2006/main">
  <authors>
    <author>SeASon</author>
  </authors>
  <commentList>
    <comment ref="E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释放所需法力</t>
        </r>
      </text>
    </comment>
    <comment ref="I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升级增量</t>
        </r>
      </text>
    </comment>
  </commentList>
</comments>
</file>

<file path=xl/comments4.xml><?xml version="1.0" encoding="utf-8"?>
<comments xmlns="http://schemas.openxmlformats.org/spreadsheetml/2006/main">
  <authors>
    <author>SeASon</author>
  </authors>
  <commentList>
    <comment ref="B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参数根据DemonSkill表对应技能的参数列表对应</t>
        </r>
      </text>
    </comment>
  </commentList>
</comments>
</file>

<file path=xl/comments5.xml><?xml version="1.0" encoding="utf-8"?>
<comments xmlns="http://schemas.openxmlformats.org/spreadsheetml/2006/main">
  <authors>
    <author>Administrator</author>
    <author>Lostjoker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相对整个战局的增益。
最终的平衡值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百分比。
触发率只跟释放型技能有关。
</t>
        </r>
      </text>
    </comment>
    <comment ref="H1" authorId="1">
      <text>
        <r>
          <rPr>
            <sz val="9"/>
            <rFont val="宋体"/>
            <charset val="134"/>
          </rPr>
          <t>SeASon:
在普攻上提升的伤害量，最终值需要在此值上加100%</t>
        </r>
      </text>
    </comment>
    <comment ref="A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只能以某个速度均值为基准
暂用100。
接近武器进阶10人的极值120</t>
        </r>
      </text>
    </comment>
    <comment ref="O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即生命</t>
        </r>
      </text>
    </comment>
    <comment ref="P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假人模型的满级</t>
        </r>
      </text>
    </comment>
    <comment ref="Q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算上减免和增幅</t>
        </r>
      </text>
    </comment>
    <comment ref="U2" authorId="1">
      <text>
        <r>
          <rPr>
            <sz val="9"/>
            <rFont val="宋体"/>
            <charset val="134"/>
          </rPr>
          <t>SeASon:
目前不会存在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算上了被闪避的</t>
        </r>
      </text>
    </comment>
    <comment ref="S3" authorId="1">
      <text>
        <r>
          <rPr>
            <sz val="9"/>
            <rFont val="宋体"/>
            <charset val="134"/>
          </rPr>
          <t>Lostjoker:
针对我方是在已知的数据上，所以较有优势</t>
        </r>
      </text>
    </comment>
    <comment ref="Q5" authorId="1">
      <text>
        <r>
          <rPr>
            <sz val="9"/>
            <rFont val="宋体"/>
            <charset val="134"/>
          </rPr>
          <t>Lostjoker:
暂用假人模型值</t>
        </r>
      </text>
    </comment>
    <comment ref="R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你来我往双倍回合数</t>
        </r>
      </text>
    </comment>
    <comment ref="Y5" authorId="0">
      <text>
        <r>
          <rPr>
            <b/>
            <sz val="9"/>
            <rFont val="宋体"/>
            <charset val="134"/>
          </rPr>
          <t>Administrator:
占总出手几率的N%</t>
        </r>
      </text>
    </comment>
    <comment ref="R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假设一次攻击到结束的回合动画N秒</t>
        </r>
      </text>
    </comment>
    <comment ref="U6" authorId="1">
      <text>
        <r>
          <rPr>
            <sz val="9"/>
            <rFont val="宋体"/>
            <charset val="134"/>
          </rPr>
          <t>SeASon:
制动影响大于控场，直接使目标无法行动，而不是仅仅影响战斗节奏。
例如，麻痹，冰冻，昏迷</t>
        </r>
      </text>
    </comment>
    <comment ref="Y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通过期望触发总比率算得</t>
        </r>
      </text>
    </comment>
    <comment ref="Y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原始双方普攻总伤害 - （期望回合数）* 普攻伤害</t>
        </r>
      </text>
    </comment>
    <comment ref="Y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用于实际平衡</t>
        </r>
      </text>
    </comment>
    <comment ref="P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不一定够钱进阶，所以取个均值</t>
        </r>
      </text>
    </comment>
    <comment ref="Q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速度无需计算，因双方平均比值相同。</t>
        </r>
      </text>
    </comment>
    <comment ref="Y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按上阵10来算，累加技能触发率，在整场战斗中平均应该触发的技能次数之下，某个技能的平均生效次数</t>
        </r>
      </text>
    </comment>
    <comment ref="Q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由于伤害增减比率属于百分比，所以可以直接使用，无需特地加上角色等级和锻造等级均值</t>
        </r>
      </text>
    </comment>
  </commentList>
</comments>
</file>

<file path=xl/sharedStrings.xml><?xml version="1.0" encoding="utf-8"?>
<sst xmlns="http://schemas.openxmlformats.org/spreadsheetml/2006/main" count="206">
  <si>
    <t>该色字段表示与程序相关</t>
  </si>
  <si>
    <t>角色类型id</t>
  </si>
  <si>
    <t>角色类型</t>
  </si>
  <si>
    <t>最大阵容人数上限</t>
  </si>
  <si>
    <t>保留角色</t>
  </si>
  <si>
    <t>重复角色上阵限制</t>
  </si>
  <si>
    <t>我方角色</t>
  </si>
  <si>
    <t>初始阵容人数上限</t>
  </si>
  <si>
    <t>怪物角色</t>
  </si>
  <si>
    <t>角色最高等级</t>
  </si>
  <si>
    <t>武器锻造最高等级</t>
  </si>
  <si>
    <t>角色品质id</t>
  </si>
  <si>
    <t>角色品质</t>
  </si>
  <si>
    <t>解雇荣誉值</t>
  </si>
  <si>
    <t>武器进阶最高等级</t>
  </si>
  <si>
    <t>白</t>
  </si>
  <si>
    <t>基础觉醒次数</t>
  </si>
  <si>
    <t>绿</t>
  </si>
  <si>
    <t>觉醒所需角色等级</t>
  </si>
  <si>
    <t>蓝</t>
  </si>
  <si>
    <t>紫色觉醒等级上限</t>
  </si>
  <si>
    <t>紫</t>
  </si>
  <si>
    <t>橙色觉醒等级上限</t>
  </si>
  <si>
    <t>橙</t>
  </si>
  <si>
    <t>红色觉醒等级上限</t>
  </si>
  <si>
    <t>红</t>
  </si>
  <si>
    <t>基础伤害百分比</t>
  </si>
  <si>
    <t>伤害浮动下限</t>
  </si>
  <si>
    <t>伤害浮动上限</t>
  </si>
  <si>
    <t>战斗回合数上限</t>
  </si>
  <si>
    <t>继承所需基础钻石</t>
  </si>
  <si>
    <t>融合者武器锻造返还率</t>
  </si>
  <si>
    <t>融合者武器进阶返还率</t>
  </si>
  <si>
    <t>解雇角色经验折扣率</t>
  </si>
  <si>
    <t>id</t>
  </si>
  <si>
    <t>name</t>
  </si>
  <si>
    <t>rank</t>
  </si>
  <si>
    <t>init_atk</t>
  </si>
  <si>
    <t>init_cri_chance</t>
  </si>
  <si>
    <t>init_cri_dmg</t>
  </si>
  <si>
    <t>init_spd</t>
  </si>
  <si>
    <t>skill1</t>
  </si>
  <si>
    <t>skill2</t>
  </si>
  <si>
    <t>skill3</t>
  </si>
  <si>
    <t>skill4</t>
  </si>
  <si>
    <t>skill5</t>
  </si>
  <si>
    <t>skill6</t>
  </si>
  <si>
    <t>unlock_gold</t>
  </si>
  <si>
    <t>unlock_gem</t>
  </si>
  <si>
    <t>desc</t>
  </si>
  <si>
    <t>角色模型</t>
  </si>
  <si>
    <t>测试角色1</t>
  </si>
  <si>
    <t>测试角色2</t>
  </si>
  <si>
    <t>测试角色3</t>
  </si>
  <si>
    <t>测试角色4</t>
  </si>
  <si>
    <t>测试角色5</t>
  </si>
  <si>
    <t>测试角色6</t>
  </si>
  <si>
    <t>魔王</t>
  </si>
  <si>
    <t>初始的魔王角色，一统魔界是他的野望</t>
  </si>
  <si>
    <t>死灵骑士</t>
  </si>
  <si>
    <t>魅魔</t>
  </si>
  <si>
    <t>反派英雄</t>
  </si>
  <si>
    <t>恶龙</t>
  </si>
  <si>
    <t>lvl</t>
  </si>
  <si>
    <t>lvl_gold_cost</t>
  </si>
  <si>
    <t>cri_val</t>
  </si>
  <si>
    <t>cri_lvl_gold_cost</t>
  </si>
  <si>
    <t>cri_dmg_val</t>
  </si>
  <si>
    <t>cri_dmg_lvl_gold_cost</t>
  </si>
  <si>
    <t>spd_val</t>
  </si>
  <si>
    <t>spd_lvl_gold_cost</t>
  </si>
  <si>
    <t>res</t>
  </si>
  <si>
    <t>mana</t>
  </si>
  <si>
    <t>effect</t>
  </si>
  <si>
    <t>arg1</t>
  </si>
  <si>
    <t>arg1_up</t>
  </si>
  <si>
    <t>arg2</t>
  </si>
  <si>
    <t>arg2_up</t>
  </si>
  <si>
    <t>arg3</t>
  </si>
  <si>
    <t>arg3_up</t>
  </si>
  <si>
    <t>技能模型</t>
  </si>
  <si>
    <t>无</t>
  </si>
  <si>
    <t>直接伤害技能</t>
  </si>
  <si>
    <t>直接治疗技能</t>
  </si>
  <si>
    <t>持续伤害技能</t>
  </si>
  <si>
    <t>吸血技能</t>
  </si>
  <si>
    <t>单属性技能</t>
  </si>
  <si>
    <t>魔王一指</t>
  </si>
  <si>
    <t>造成arg%的点击伤害</t>
  </si>
  <si>
    <t>致命打击</t>
  </si>
  <si>
    <t>暴击率提升arg%</t>
  </si>
  <si>
    <t>点金术</t>
  </si>
  <si>
    <t>每下点击掉落arg%的金币</t>
  </si>
  <si>
    <t>附魔之力</t>
  </si>
  <si>
    <t>提升点击伤害arg%</t>
  </si>
  <si>
    <t>战吼</t>
  </si>
  <si>
    <t>提升怪物们造成的伤害arg%</t>
  </si>
  <si>
    <t>地狱风暴</t>
  </si>
  <si>
    <t>每秒自动点击arg下，造成arg%的点击伤害</t>
  </si>
  <si>
    <t>魔界权威</t>
  </si>
  <si>
    <t>对目标直接造成arg%的魔王点击伤害</t>
  </si>
  <si>
    <t>暴击率增加arg%，持续arg秒</t>
  </si>
  <si>
    <t>每下点击掉落当前目标击杀金币arg%的金币量，持续arg秒</t>
  </si>
  <si>
    <t>提高魔王点击伤害arg%，持续arg秒</t>
  </si>
  <si>
    <t>提高怪物造成的伤害arg%，持续arg秒</t>
  </si>
  <si>
    <t>每秒自动点击arg次，每次造成arg%的魔王点击伤害，持续arg秒</t>
  </si>
  <si>
    <t>skill1_demon_lvl</t>
  </si>
  <si>
    <t>skill1_gold_cost</t>
  </si>
  <si>
    <t>skill2_demon_lvl</t>
  </si>
  <si>
    <t>skill2_gold_cost</t>
  </si>
  <si>
    <t>skill3_demon_lvl</t>
  </si>
  <si>
    <t>skill3_gold_cost</t>
  </si>
  <si>
    <t>skill4_demon_lvl</t>
  </si>
  <si>
    <t>skill4_gold_cost</t>
  </si>
  <si>
    <t>skill5_demon_lvl</t>
  </si>
  <si>
    <t>skill5_gold_cost</t>
  </si>
  <si>
    <t>skill6_demon_lvl</t>
  </si>
  <si>
    <t>skill6_gold_cost</t>
  </si>
  <si>
    <t>ID</t>
  </si>
  <si>
    <t>技能名</t>
  </si>
  <si>
    <t>提升收益</t>
  </si>
  <si>
    <t>生效次数</t>
  </si>
  <si>
    <t>敌我选择</t>
  </si>
  <si>
    <t>类型价值1</t>
  </si>
  <si>
    <t>触发率</t>
  </si>
  <si>
    <t>提升伤害</t>
  </si>
  <si>
    <t>类型价值2</t>
  </si>
  <si>
    <t>速度等级</t>
  </si>
  <si>
    <t>防御等级</t>
  </si>
  <si>
    <t>闪避等级</t>
  </si>
  <si>
    <t>王者等级</t>
  </si>
  <si>
    <t>基础</t>
  </si>
  <si>
    <t>求得</t>
  </si>
  <si>
    <t>期望</t>
  </si>
  <si>
    <t>速度收益</t>
  </si>
  <si>
    <t>防御收益</t>
  </si>
  <si>
    <t>闪避收益</t>
  </si>
  <si>
    <t>王者收益</t>
  </si>
  <si>
    <t>敌方</t>
  </si>
  <si>
    <t>伤害</t>
  </si>
  <si>
    <t>战力</t>
  </si>
  <si>
    <t>基础伤害</t>
  </si>
  <si>
    <t>整场战斗期望耗时</t>
  </si>
  <si>
    <t>基础伤害倍率</t>
  </si>
  <si>
    <t>实际普攻收益</t>
  </si>
  <si>
    <t>我方</t>
  </si>
  <si>
    <t>单属性变动</t>
  </si>
  <si>
    <t>期望单向消耗的回合总数</t>
  </si>
  <si>
    <t>治疗</t>
  </si>
  <si>
    <t>DPH</t>
  </si>
  <si>
    <t>单方普攻回合消耗</t>
  </si>
  <si>
    <t>双属性变动</t>
  </si>
  <si>
    <t>技能需减少回合数</t>
  </si>
  <si>
    <t>DPS</t>
  </si>
  <si>
    <t>双方普攻回合</t>
  </si>
  <si>
    <t>伤害+治疗</t>
  </si>
  <si>
    <t>三属性变动</t>
  </si>
  <si>
    <t>期望技能总触发几率</t>
  </si>
  <si>
    <t>单个速度均值</t>
  </si>
  <si>
    <t>原始总计表现时间</t>
  </si>
  <si>
    <t>制动</t>
  </si>
  <si>
    <t>四属性变动</t>
  </si>
  <si>
    <t>技能触发总次数</t>
  </si>
  <si>
    <t>单个防御均值</t>
  </si>
  <si>
    <t>无视防御</t>
  </si>
  <si>
    <t>期望技能提升的总伤害</t>
  </si>
  <si>
    <t>低触发技能</t>
  </si>
  <si>
    <t>单个闪避均值</t>
  </si>
  <si>
    <t>普攻伤害</t>
  </si>
  <si>
    <t>无视闪避</t>
  </si>
  <si>
    <t>单个技能触发几率</t>
  </si>
  <si>
    <t>无视防御技能</t>
  </si>
  <si>
    <t>单个王者均值</t>
  </si>
  <si>
    <t>单方普攻总伤害</t>
  </si>
  <si>
    <t>无视防御和闪避</t>
  </si>
  <si>
    <t>期望释放型技能提升的总伤害</t>
  </si>
  <si>
    <t>无视闪避技能</t>
  </si>
  <si>
    <t>最大人数</t>
  </si>
  <si>
    <t>双方普攻总伤害</t>
  </si>
  <si>
    <t>伤害+制动</t>
  </si>
  <si>
    <t>期望非释放型技能提升的总伤害</t>
  </si>
  <si>
    <t>双属性技能</t>
  </si>
  <si>
    <t>回合动画时间</t>
  </si>
  <si>
    <t>伤害+易伤</t>
  </si>
  <si>
    <t>一次技能提升的收益</t>
  </si>
  <si>
    <t>测试技能10</t>
  </si>
  <si>
    <t>队伍速度均值</t>
  </si>
  <si>
    <t>出手提升率</t>
  </si>
  <si>
    <t>每增加1点速度</t>
  </si>
  <si>
    <t>伤害+属性</t>
  </si>
  <si>
    <t>某技能期望生效次数</t>
  </si>
  <si>
    <t>测试技能11</t>
  </si>
  <si>
    <t>队伍防御均值</t>
  </si>
  <si>
    <t>伤害减免率</t>
  </si>
  <si>
    <t>每增加1点防御</t>
  </si>
  <si>
    <t>测试技能12</t>
  </si>
  <si>
    <t>队伍闪避均值</t>
  </si>
  <si>
    <t>闪避率</t>
  </si>
  <si>
    <t>每增加1点闪避</t>
  </si>
  <si>
    <t>测试技能13</t>
  </si>
  <si>
    <t>队伍王者均值</t>
  </si>
  <si>
    <t>伤害增幅率</t>
  </si>
  <si>
    <t>每增加1点王者</t>
  </si>
  <si>
    <t>测试技能14</t>
  </si>
  <si>
    <t>进阶速度极值</t>
  </si>
  <si>
    <t>超额伤害界限</t>
  </si>
</sst>
</file>

<file path=xl/styles.xml><?xml version="1.0" encoding="utf-8"?>
<styleSheet xmlns="http://schemas.openxmlformats.org/spreadsheetml/2006/main">
  <numFmts count="6">
    <numFmt numFmtId="176" formatCode="0.0000_ "/>
    <numFmt numFmtId="177" formatCode="0.00_ "/>
    <numFmt numFmtId="178" formatCode="_(* #,##0.00_);_(* \(#,##0.00\);_(* &quot;-&quot;??_);_(@_)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34">
    <font>
      <sz val="11"/>
      <color indexed="8"/>
      <name val="宋体"/>
      <charset val="134"/>
    </font>
    <font>
      <b/>
      <sz val="12"/>
      <color indexed="9"/>
      <name val="宋体"/>
      <charset val="134"/>
    </font>
    <font>
      <b/>
      <sz val="11"/>
      <color theme="2"/>
      <name val="宋体"/>
      <charset val="134"/>
    </font>
    <font>
      <b/>
      <sz val="12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b/>
      <sz val="12"/>
      <color theme="2"/>
      <name val="宋体"/>
      <charset val="134"/>
    </font>
    <font>
      <b/>
      <sz val="12"/>
      <color indexed="17"/>
      <name val="宋体"/>
      <charset val="134"/>
    </font>
    <font>
      <b/>
      <sz val="11"/>
      <color theme="2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ajor"/>
    </font>
    <font>
      <b/>
      <sz val="11"/>
      <color indexed="9"/>
      <name val="宋体"/>
      <charset val="134"/>
    </font>
    <font>
      <sz val="10.5"/>
      <color indexed="8"/>
      <name val="宋体"/>
      <charset val="134"/>
    </font>
    <font>
      <b/>
      <sz val="11"/>
      <name val="宋体"/>
      <charset val="134"/>
    </font>
    <font>
      <i/>
      <sz val="11"/>
      <color indexed="23"/>
      <name val="宋体"/>
      <charset val="134"/>
    </font>
    <font>
      <b/>
      <sz val="11"/>
      <color indexed="18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42"/>
      <name val="宋体"/>
      <charset val="134"/>
    </font>
    <font>
      <b/>
      <sz val="13"/>
      <color indexed="18"/>
      <name val="宋体"/>
      <charset val="134"/>
    </font>
    <font>
      <sz val="11"/>
      <color indexed="10"/>
      <name val="宋体"/>
      <charset val="134"/>
    </font>
    <font>
      <b/>
      <sz val="18"/>
      <color indexed="18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5"/>
      <color indexed="18"/>
      <name val="宋体"/>
      <charset val="134"/>
    </font>
    <font>
      <sz val="11"/>
      <color indexed="52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4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/>
      <bottom style="medium">
        <color indexed="2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6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3" fillId="16" borderId="3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28" borderId="10" applyNumberFormat="0" applyFon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0" fillId="24" borderId="3" applyNumberFormat="0" applyAlignment="0" applyProtection="0">
      <alignment vertical="center"/>
    </xf>
    <xf numFmtId="0" fontId="25" fillId="2" borderId="4" applyNumberForma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10" fillId="0" borderId="0">
      <alignment vertical="center"/>
    </xf>
  </cellStyleXfs>
  <cellXfs count="9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>
      <alignment vertical="center"/>
    </xf>
    <xf numFmtId="0" fontId="1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10" fontId="0" fillId="0" borderId="1" xfId="11" applyNumberFormat="1" applyFont="1" applyBorder="1">
      <alignment vertical="center"/>
    </xf>
    <xf numFmtId="177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176" fontId="0" fillId="0" borderId="1" xfId="0" applyNumberFormat="1" applyBorder="1">
      <alignment vertical="center"/>
    </xf>
    <xf numFmtId="10" fontId="0" fillId="0" borderId="1" xfId="11" applyNumberFormat="1" applyFont="1" applyFill="1" applyBorder="1" applyAlignment="1">
      <alignment vertical="center"/>
    </xf>
    <xf numFmtId="0" fontId="0" fillId="0" borderId="0" xfId="0" applyNumberFormat="1">
      <alignment vertical="center"/>
    </xf>
    <xf numFmtId="177" fontId="0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76" fontId="0" fillId="0" borderId="0" xfId="0" applyNumberFormat="1" applyBorder="1">
      <alignment vertical="center"/>
    </xf>
    <xf numFmtId="10" fontId="0" fillId="0" borderId="0" xfId="11" applyNumberFormat="1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6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6" borderId="1" xfId="0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6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2" fillId="9" borderId="1" xfId="0" applyFont="1" applyFill="1" applyBorder="1">
      <alignment vertical="center"/>
    </xf>
    <xf numFmtId="0" fontId="0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8" borderId="1" xfId="0" applyFill="1" applyBorder="1">
      <alignment vertical="center"/>
    </xf>
    <xf numFmtId="10" fontId="0" fillId="0" borderId="1" xfId="0" applyNumberFormat="1" applyBorder="1">
      <alignment vertical="center"/>
    </xf>
    <xf numFmtId="2" fontId="4" fillId="0" borderId="1" xfId="0" applyNumberFormat="1" applyFont="1" applyBorder="1" applyAlignment="1">
      <alignment vertical="center"/>
    </xf>
    <xf numFmtId="0" fontId="0" fillId="8" borderId="1" xfId="0" applyFont="1" applyFill="1" applyBorder="1">
      <alignment vertical="center"/>
    </xf>
    <xf numFmtId="9" fontId="0" fillId="0" borderId="1" xfId="11" applyFon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2" fillId="9" borderId="1" xfId="0" applyNumberFormat="1" applyFont="1" applyFill="1" applyBorder="1" applyAlignment="1">
      <alignment vertical="center"/>
    </xf>
    <xf numFmtId="0" fontId="0" fillId="0" borderId="1" xfId="0" applyFont="1" applyBorder="1">
      <alignment vertical="center"/>
    </xf>
    <xf numFmtId="0" fontId="0" fillId="10" borderId="1" xfId="0" applyFont="1" applyFill="1" applyBorder="1" applyAlignment="1">
      <alignment vertical="center"/>
    </xf>
    <xf numFmtId="0" fontId="1" fillId="11" borderId="1" xfId="0" applyNumberFormat="1" applyFont="1" applyFill="1" applyBorder="1" applyAlignment="1">
      <alignment vertical="center"/>
    </xf>
    <xf numFmtId="0" fontId="0" fillId="0" borderId="1" xfId="0" applyNumberForma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10" fontId="4" fillId="0" borderId="1" xfId="11" applyNumberFormat="1" applyFont="1" applyBorder="1">
      <alignment vertical="center"/>
    </xf>
    <xf numFmtId="0" fontId="4" fillId="0" borderId="1" xfId="0" applyNumberFormat="1" applyFont="1" applyBorder="1" applyAlignment="1">
      <alignment vertical="center"/>
    </xf>
    <xf numFmtId="10" fontId="0" fillId="0" borderId="1" xfId="11" applyNumberFormat="1" applyFont="1" applyBorder="1" applyAlignment="1">
      <alignment vertical="center"/>
    </xf>
    <xf numFmtId="0" fontId="0" fillId="0" borderId="1" xfId="0" applyNumberFormat="1" applyBorder="1">
      <alignment vertical="center"/>
    </xf>
    <xf numFmtId="10" fontId="6" fillId="12" borderId="1" xfId="11" applyNumberFormat="1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7" fillId="0" borderId="1" xfId="0" applyNumberFormat="1" applyFont="1" applyBorder="1">
      <alignment vertical="center"/>
    </xf>
    <xf numFmtId="0" fontId="3" fillId="0" borderId="1" xfId="0" applyNumberFormat="1" applyFon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4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12" borderId="1" xfId="54" applyFont="1" applyFill="1" applyBorder="1" applyAlignment="1">
      <alignment vertical="center" wrapText="1"/>
    </xf>
    <xf numFmtId="0" fontId="9" fillId="0" borderId="1" xfId="54" applyFont="1" applyFill="1" applyBorder="1" applyAlignment="1">
      <alignment vertical="center"/>
    </xf>
    <xf numFmtId="0" fontId="9" fillId="0" borderId="1" xfId="54" applyFont="1" applyFill="1" applyBorder="1" applyAlignment="1">
      <alignment horizontal="left" vertical="center" wrapText="1"/>
    </xf>
    <xf numFmtId="0" fontId="9" fillId="0" borderId="0" xfId="54" applyFont="1" applyFill="1" applyAlignment="1">
      <alignment vertical="center"/>
    </xf>
    <xf numFmtId="0" fontId="10" fillId="0" borderId="0" xfId="54" applyFont="1"/>
    <xf numFmtId="0" fontId="10" fillId="0" borderId="0" xfId="54" applyFont="1" applyFill="1" applyAlignment="1"/>
    <xf numFmtId="0" fontId="10" fillId="0" borderId="0" xfId="54" applyFont="1" applyFill="1" applyAlignment="1">
      <alignment vertical="center"/>
    </xf>
    <xf numFmtId="0" fontId="9" fillId="0" borderId="0" xfId="54" applyFont="1" applyFill="1" applyAlignment="1">
      <alignment vertical="center" wrapText="1"/>
    </xf>
    <xf numFmtId="0" fontId="11" fillId="0" borderId="0" xfId="54" applyFont="1" applyFill="1" applyAlignment="1">
      <alignment vertical="center"/>
    </xf>
    <xf numFmtId="0" fontId="10" fillId="0" borderId="0" xfId="54"/>
    <xf numFmtId="0" fontId="12" fillId="13" borderId="1" xfId="54" applyFont="1" applyFill="1" applyBorder="1" applyAlignment="1">
      <alignment vertical="center"/>
    </xf>
    <xf numFmtId="0" fontId="0" fillId="14" borderId="1" xfId="53" applyFont="1" applyFill="1" applyBorder="1">
      <alignment vertical="center"/>
    </xf>
    <xf numFmtId="0" fontId="10" fillId="0" borderId="1" xfId="54" applyFont="1" applyFill="1" applyBorder="1" applyAlignment="1">
      <alignment vertical="center"/>
    </xf>
    <xf numFmtId="0" fontId="10" fillId="0" borderId="1" xfId="11" applyNumberFormat="1" applyFont="1" applyFill="1" applyBorder="1" applyAlignment="1">
      <alignment vertical="center"/>
    </xf>
    <xf numFmtId="0" fontId="9" fillId="0" borderId="1" xfId="11" applyNumberFormat="1" applyFont="1" applyFill="1" applyBorder="1" applyAlignment="1">
      <alignment vertical="center"/>
    </xf>
    <xf numFmtId="10" fontId="0" fillId="0" borderId="1" xfId="11" applyNumberFormat="1" applyBorder="1" applyAlignment="1">
      <alignment vertical="center" wrapText="1"/>
    </xf>
    <xf numFmtId="0" fontId="0" fillId="0" borderId="1" xfId="11" applyNumberFormat="1" applyBorder="1" applyAlignment="1">
      <alignment vertical="center" wrapText="1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15" fillId="15" borderId="1" xfId="0" applyNumberFormat="1" applyFont="1" applyFill="1" applyBorder="1" applyAlignment="1">
      <alignment vertical="center" wrapText="1"/>
    </xf>
    <xf numFmtId="0" fontId="15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0" fillId="0" borderId="1" xfId="11" applyNumberForma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2" fillId="12" borderId="1" xfId="0" applyFont="1" applyFill="1" applyBorder="1">
      <alignment vertical="center"/>
    </xf>
    <xf numFmtId="0" fontId="15" fillId="15" borderId="1" xfId="42" applyFont="1" applyFill="1" applyBorder="1" applyAlignment="1">
      <alignment vertical="center"/>
    </xf>
    <xf numFmtId="0" fontId="0" fillId="0" borderId="1" xfId="42" applyBorder="1" applyAlignment="1">
      <alignment vertical="center"/>
    </xf>
    <xf numFmtId="0" fontId="0" fillId="0" borderId="1" xfId="0" applyFont="1" applyFill="1" applyBorder="1">
      <alignment vertical="center"/>
    </xf>
    <xf numFmtId="9" fontId="4" fillId="0" borderId="1" xfId="11" applyFont="1" applyBorder="1" applyAlignment="1">
      <alignment vertical="center"/>
    </xf>
    <xf numFmtId="9" fontId="0" fillId="0" borderId="1" xfId="42" applyNumberFormat="1" applyBorder="1" applyAlignment="1">
      <alignment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17" fillId="12" borderId="1" xfId="0" applyFont="1" applyFill="1" applyBorder="1">
      <alignment vertical="center"/>
    </xf>
    <xf numFmtId="0" fontId="17" fillId="0" borderId="1" xfId="0" applyFont="1" applyFill="1" applyBorder="1">
      <alignment vertical="center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常规 6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常规 3 2" xfId="42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百分比 3" xfId="52"/>
    <cellStyle name="常规 2" xfId="53"/>
    <cellStyle name="常规 3" xfId="54"/>
    <cellStyle name="常规 4" xfId="55"/>
  </cellStyles>
  <dxfs count="33">
    <dxf>
      <fill>
        <patternFill patternType="solid">
          <bgColor theme="5" tint="0.799981688894314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0"/>
        </patternFill>
      </fill>
    </dxf>
    <dxf>
      <font>
        <color theme="2"/>
      </font>
      <fill>
        <patternFill patternType="solid">
          <bgColor theme="8" tint="-0.499984740745262"/>
        </patternFill>
      </fill>
    </dxf>
    <dxf>
      <font>
        <color theme="2"/>
      </font>
      <fill>
        <patternFill patternType="solid">
          <bgColor theme="9" tint="-0.499984740745262"/>
        </patternFill>
      </fill>
    </dxf>
    <dxf>
      <font>
        <color theme="2"/>
      </font>
      <fill>
        <patternFill patternType="solid">
          <bgColor theme="5" tint="-0.499984740745262"/>
        </patternFill>
      </fill>
    </dxf>
    <dxf>
      <font>
        <color theme="2"/>
      </font>
      <fill>
        <patternFill patternType="solid">
          <bgColor theme="2" tint="-0.499984740745262"/>
        </patternFill>
      </fill>
    </dxf>
    <dxf>
      <fill>
        <patternFill patternType="solid">
          <bgColor theme="9" tint="0.599963377788629"/>
        </patternFill>
      </fill>
    </dxf>
    <dxf>
      <font>
        <color theme="2"/>
      </font>
      <fill>
        <patternFill patternType="solid">
          <bgColor theme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0" tint="-0.0999481185338908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8" tint="0.399945066682943"/>
        </patternFill>
      </fill>
    </dxf>
    <dxf>
      <font>
        <color theme="5"/>
      </font>
      <fill>
        <patternFill patternType="solid">
          <bgColor theme="5" tint="0.799981688894314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theme="0" tint="-0.0999481185338908"/>
        </patternFill>
      </fill>
    </dxf>
    <dxf>
      <fill>
        <patternFill patternType="solid">
          <bgColor theme="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theme="9" tint="0.599963377788629"/>
        </patternFill>
      </fill>
    </dxf>
    <dxf>
      <fill>
        <patternFill patternType="solid">
          <fgColor indexed="10"/>
          <bgColor indexed="53"/>
        </patternFill>
      </fill>
    </dxf>
    <dxf>
      <fill>
        <patternFill patternType="solid">
          <fgColor indexed="10"/>
          <bgColor indexed="40"/>
        </patternFill>
      </fill>
    </dxf>
    <dxf>
      <fill>
        <patternFill patternType="solid">
          <fgColor indexed="10"/>
          <bgColor indexed="47"/>
        </patternFill>
      </fill>
    </dxf>
    <dxf>
      <fill>
        <patternFill patternType="solid">
          <fgColor indexed="10"/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技能平衡!$AC$1</c:f>
              <c:strCache>
                <c:ptCount val="1"/>
                <c:pt idx="0">
                  <c:v>速度收益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strRef>
              <c:f>技能平衡!$AB:$AB</c:f>
              <c:strCache>
                <c:ptCount val="1048576"/>
                <c:pt idx="0">
                  <c:v>速度等级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61</c:v>
                </c:pt>
                <c:pt idx="19">
                  <c:v>62</c:v>
                </c:pt>
                <c:pt idx="20">
                  <c:v>63</c:v>
                </c:pt>
                <c:pt idx="21">
                  <c:v>64</c:v>
                </c:pt>
                <c:pt idx="22">
                  <c:v>65</c:v>
                </c:pt>
                <c:pt idx="23">
                  <c:v>66</c:v>
                </c:pt>
                <c:pt idx="24">
                  <c:v>67</c:v>
                </c:pt>
                <c:pt idx="25">
                  <c:v>68</c:v>
                </c:pt>
                <c:pt idx="26">
                  <c:v>69</c:v>
                </c:pt>
                <c:pt idx="27">
                  <c:v>70</c:v>
                </c:pt>
                <c:pt idx="28">
                  <c:v>71</c:v>
                </c:pt>
                <c:pt idx="29">
                  <c:v>72</c:v>
                </c:pt>
                <c:pt idx="30">
                  <c:v>73</c:v>
                </c:pt>
                <c:pt idx="31">
                  <c:v>74</c:v>
                </c:pt>
                <c:pt idx="32">
                  <c:v>75</c:v>
                </c:pt>
                <c:pt idx="33">
                  <c:v>76</c:v>
                </c:pt>
                <c:pt idx="34">
                  <c:v>77</c:v>
                </c:pt>
                <c:pt idx="35">
                  <c:v>78</c:v>
                </c:pt>
                <c:pt idx="36">
                  <c:v>79</c:v>
                </c:pt>
                <c:pt idx="37">
                  <c:v>80</c:v>
                </c:pt>
                <c:pt idx="38">
                  <c:v>81</c:v>
                </c:pt>
                <c:pt idx="39">
                  <c:v>82</c:v>
                </c:pt>
                <c:pt idx="40">
                  <c:v>83</c:v>
                </c:pt>
                <c:pt idx="41">
                  <c:v>84</c:v>
                </c:pt>
                <c:pt idx="42">
                  <c:v>85</c:v>
                </c:pt>
                <c:pt idx="43">
                  <c:v>86</c:v>
                </c:pt>
                <c:pt idx="44">
                  <c:v>87</c:v>
                </c:pt>
                <c:pt idx="45">
                  <c:v>88</c:v>
                </c:pt>
                <c:pt idx="46">
                  <c:v>89</c:v>
                </c:pt>
                <c:pt idx="47">
                  <c:v>90</c:v>
                </c:pt>
                <c:pt idx="48">
                  <c:v>91</c:v>
                </c:pt>
                <c:pt idx="49">
                  <c:v>92</c:v>
                </c:pt>
                <c:pt idx="50">
                  <c:v>93</c:v>
                </c:pt>
                <c:pt idx="51">
                  <c:v>94</c:v>
                </c:pt>
                <c:pt idx="52">
                  <c:v>95</c:v>
                </c:pt>
                <c:pt idx="53">
                  <c:v>96</c:v>
                </c:pt>
                <c:pt idx="54">
                  <c:v>97</c:v>
                </c:pt>
                <c:pt idx="55">
                  <c:v>98</c:v>
                </c:pt>
                <c:pt idx="56">
                  <c:v>99</c:v>
                </c:pt>
                <c:pt idx="57">
                  <c:v>100</c:v>
                </c:pt>
                <c:pt idx="58">
                  <c:v>101</c:v>
                </c:pt>
                <c:pt idx="59">
                  <c:v>102</c:v>
                </c:pt>
                <c:pt idx="60">
                  <c:v>103</c:v>
                </c:pt>
                <c:pt idx="61">
                  <c:v>104</c:v>
                </c:pt>
                <c:pt idx="62">
                  <c:v>105</c:v>
                </c:pt>
                <c:pt idx="63">
                  <c:v>106</c:v>
                </c:pt>
                <c:pt idx="64">
                  <c:v>107</c:v>
                </c:pt>
                <c:pt idx="65">
                  <c:v>108</c:v>
                </c:pt>
                <c:pt idx="66">
                  <c:v>109</c:v>
                </c:pt>
                <c:pt idx="67">
                  <c:v>110</c:v>
                </c:pt>
                <c:pt idx="68">
                  <c:v>111</c:v>
                </c:pt>
                <c:pt idx="69">
                  <c:v>112</c:v>
                </c:pt>
                <c:pt idx="70">
                  <c:v>113</c:v>
                </c:pt>
                <c:pt idx="71">
                  <c:v>114</c:v>
                </c:pt>
                <c:pt idx="72">
                  <c:v>115</c:v>
                </c:pt>
                <c:pt idx="73">
                  <c:v>116</c:v>
                </c:pt>
                <c:pt idx="74">
                  <c:v>117</c:v>
                </c:pt>
                <c:pt idx="75">
                  <c:v>118</c:v>
                </c:pt>
                <c:pt idx="76">
                  <c:v>119</c:v>
                </c:pt>
                <c:pt idx="77">
                  <c:v>120</c:v>
                </c:pt>
                <c:pt idx="78">
                  <c:v>121</c:v>
                </c:pt>
                <c:pt idx="79">
                  <c:v>122</c:v>
                </c:pt>
                <c:pt idx="80">
                  <c:v>123</c:v>
                </c:pt>
                <c:pt idx="81">
                  <c:v>124</c:v>
                </c:pt>
                <c:pt idx="82">
                  <c:v>125</c:v>
                </c:pt>
                <c:pt idx="83">
                  <c:v>126</c:v>
                </c:pt>
                <c:pt idx="84">
                  <c:v>127</c:v>
                </c:pt>
                <c:pt idx="85">
                  <c:v>128</c:v>
                </c:pt>
                <c:pt idx="86">
                  <c:v>129</c:v>
                </c:pt>
                <c:pt idx="87">
                  <c:v>130</c:v>
                </c:pt>
                <c:pt idx="88">
                  <c:v>131</c:v>
                </c:pt>
                <c:pt idx="89">
                  <c:v>132</c:v>
                </c:pt>
                <c:pt idx="90">
                  <c:v>133</c:v>
                </c:pt>
                <c:pt idx="91">
                  <c:v>134</c:v>
                </c:pt>
                <c:pt idx="92">
                  <c:v>135</c:v>
                </c:pt>
                <c:pt idx="93">
                  <c:v>136</c:v>
                </c:pt>
                <c:pt idx="94">
                  <c:v>137</c:v>
                </c:pt>
                <c:pt idx="95">
                  <c:v>138</c:v>
                </c:pt>
                <c:pt idx="96">
                  <c:v>139</c:v>
                </c:pt>
                <c:pt idx="97">
                  <c:v>140</c:v>
                </c:pt>
                <c:pt idx="98">
                  <c:v>141</c:v>
                </c:pt>
                <c:pt idx="99">
                  <c:v>142</c:v>
                </c:pt>
                <c:pt idx="100">
                  <c:v>143</c:v>
                </c:pt>
                <c:pt idx="101">
                  <c:v>144</c:v>
                </c:pt>
                <c:pt idx="102">
                  <c:v>145</c:v>
                </c:pt>
                <c:pt idx="103">
                  <c:v>146</c:v>
                </c:pt>
                <c:pt idx="104">
                  <c:v>147</c:v>
                </c:pt>
                <c:pt idx="105">
                  <c:v>148</c:v>
                </c:pt>
                <c:pt idx="106">
                  <c:v>149</c:v>
                </c:pt>
                <c:pt idx="107">
                  <c:v>150</c:v>
                </c:pt>
                <c:pt idx="108">
                  <c:v>151</c:v>
                </c:pt>
                <c:pt idx="109">
                  <c:v>152</c:v>
                </c:pt>
                <c:pt idx="110">
                  <c:v>153</c:v>
                </c:pt>
                <c:pt idx="111">
                  <c:v>154</c:v>
                </c:pt>
                <c:pt idx="112">
                  <c:v>155</c:v>
                </c:pt>
                <c:pt idx="113">
                  <c:v>156</c:v>
                </c:pt>
                <c:pt idx="114">
                  <c:v>157</c:v>
                </c:pt>
                <c:pt idx="115">
                  <c:v>158</c:v>
                </c:pt>
                <c:pt idx="116">
                  <c:v>159</c:v>
                </c:pt>
                <c:pt idx="117">
                  <c:v>160</c:v>
                </c:pt>
                <c:pt idx="118">
                  <c:v>161</c:v>
                </c:pt>
                <c:pt idx="119">
                  <c:v>162</c:v>
                </c:pt>
                <c:pt idx="120">
                  <c:v>163</c:v>
                </c:pt>
                <c:pt idx="121">
                  <c:v>164</c:v>
                </c:pt>
                <c:pt idx="122">
                  <c:v>165</c:v>
                </c:pt>
                <c:pt idx="123">
                  <c:v>166</c:v>
                </c:pt>
                <c:pt idx="124">
                  <c:v>167</c:v>
                </c:pt>
                <c:pt idx="125">
                  <c:v>168</c:v>
                </c:pt>
                <c:pt idx="126">
                  <c:v>169</c:v>
                </c:pt>
                <c:pt idx="127">
                  <c:v>170</c:v>
                </c:pt>
                <c:pt idx="128">
                  <c:v>171</c:v>
                </c:pt>
                <c:pt idx="129">
                  <c:v>172</c:v>
                </c:pt>
                <c:pt idx="130">
                  <c:v>173</c:v>
                </c:pt>
                <c:pt idx="131">
                  <c:v>174</c:v>
                </c:pt>
                <c:pt idx="132">
                  <c:v>175</c:v>
                </c:pt>
                <c:pt idx="133">
                  <c:v>176</c:v>
                </c:pt>
                <c:pt idx="134">
                  <c:v>177</c:v>
                </c:pt>
                <c:pt idx="135">
                  <c:v>178</c:v>
                </c:pt>
                <c:pt idx="136">
                  <c:v>179</c:v>
                </c:pt>
                <c:pt idx="137">
                  <c:v>180</c:v>
                </c:pt>
                <c:pt idx="138">
                  <c:v>181</c:v>
                </c:pt>
                <c:pt idx="139">
                  <c:v>182</c:v>
                </c:pt>
                <c:pt idx="140">
                  <c:v>183</c:v>
                </c:pt>
                <c:pt idx="141">
                  <c:v>184</c:v>
                </c:pt>
                <c:pt idx="142">
                  <c:v>185</c:v>
                </c:pt>
                <c:pt idx="143">
                  <c:v>186</c:v>
                </c:pt>
                <c:pt idx="144">
                  <c:v>187</c:v>
                </c:pt>
                <c:pt idx="145">
                  <c:v>188</c:v>
                </c:pt>
                <c:pt idx="146">
                  <c:v>189</c:v>
                </c:pt>
                <c:pt idx="147">
                  <c:v>190</c:v>
                </c:pt>
                <c:pt idx="148">
                  <c:v>191</c:v>
                </c:pt>
                <c:pt idx="149">
                  <c:v>192</c:v>
                </c:pt>
                <c:pt idx="150">
                  <c:v>193</c:v>
                </c:pt>
                <c:pt idx="151">
                  <c:v>194</c:v>
                </c:pt>
                <c:pt idx="152">
                  <c:v>195</c:v>
                </c:pt>
                <c:pt idx="153">
                  <c:v>196</c:v>
                </c:pt>
                <c:pt idx="154">
                  <c:v>197</c:v>
                </c:pt>
                <c:pt idx="155">
                  <c:v>198</c:v>
                </c:pt>
                <c:pt idx="156">
                  <c:v>199</c:v>
                </c:pt>
                <c:pt idx="157">
                  <c:v>200</c:v>
                </c:pt>
              </c:strCache>
            </c:strRef>
          </c:xVal>
          <c:yVal>
            <c:numRef>
              <c:f>技能平衡!$AC:$AC</c:f>
              <c:numCache>
                <c:formatCode>General</c:formatCode>
                <c:ptCount val="1048576"/>
                <c:pt idx="0">
                  <c:v>0</c:v>
                </c:pt>
                <c:pt idx="1" c:formatCode="0.00%">
                  <c:v>0</c:v>
                </c:pt>
                <c:pt idx="2" c:formatCode="0.00%">
                  <c:v>0.01</c:v>
                </c:pt>
                <c:pt idx="3" c:formatCode="0.00%">
                  <c:v>0.02</c:v>
                </c:pt>
                <c:pt idx="4" c:formatCode="0.00%">
                  <c:v>0.03</c:v>
                </c:pt>
                <c:pt idx="5" c:formatCode="0.00%">
                  <c:v>0.04</c:v>
                </c:pt>
                <c:pt idx="6" c:formatCode="0.00%">
                  <c:v>0.05</c:v>
                </c:pt>
                <c:pt idx="7" c:formatCode="0.00%">
                  <c:v>0.06</c:v>
                </c:pt>
                <c:pt idx="8" c:formatCode="0.00%">
                  <c:v>0.07</c:v>
                </c:pt>
                <c:pt idx="9" c:formatCode="0.00%">
                  <c:v>0.08</c:v>
                </c:pt>
                <c:pt idx="10" c:formatCode="0.00%">
                  <c:v>0.09</c:v>
                </c:pt>
                <c:pt idx="11" c:formatCode="0.00%">
                  <c:v>0.1</c:v>
                </c:pt>
                <c:pt idx="12" c:formatCode="0.00%">
                  <c:v>0.11</c:v>
                </c:pt>
                <c:pt idx="13" c:formatCode="0.00%">
                  <c:v>0.12</c:v>
                </c:pt>
                <c:pt idx="14" c:formatCode="0.00%">
                  <c:v>0.13</c:v>
                </c:pt>
                <c:pt idx="15" c:formatCode="0.00%">
                  <c:v>0.14</c:v>
                </c:pt>
                <c:pt idx="16" c:formatCode="0.00%">
                  <c:v>0.15</c:v>
                </c:pt>
                <c:pt idx="17" c:formatCode="0.00%">
                  <c:v>0.16</c:v>
                </c:pt>
                <c:pt idx="18" c:formatCode="0.00%">
                  <c:v>0.61</c:v>
                </c:pt>
                <c:pt idx="19" c:formatCode="0.00%">
                  <c:v>0.62</c:v>
                </c:pt>
                <c:pt idx="20" c:formatCode="0.00%">
                  <c:v>0.63</c:v>
                </c:pt>
                <c:pt idx="21" c:formatCode="0.00%">
                  <c:v>0.64</c:v>
                </c:pt>
                <c:pt idx="22" c:formatCode="0.00%">
                  <c:v>0.65</c:v>
                </c:pt>
                <c:pt idx="23" c:formatCode="0.00%">
                  <c:v>0.66</c:v>
                </c:pt>
                <c:pt idx="24" c:formatCode="0.00%">
                  <c:v>0.67</c:v>
                </c:pt>
                <c:pt idx="25" c:formatCode="0.00%">
                  <c:v>0.68</c:v>
                </c:pt>
                <c:pt idx="26" c:formatCode="0.00%">
                  <c:v>0.69</c:v>
                </c:pt>
                <c:pt idx="27" c:formatCode="0.00%">
                  <c:v>0.7</c:v>
                </c:pt>
                <c:pt idx="28" c:formatCode="0.00%">
                  <c:v>0.71</c:v>
                </c:pt>
                <c:pt idx="29" c:formatCode="0.00%">
                  <c:v>0.72</c:v>
                </c:pt>
                <c:pt idx="30" c:formatCode="0.00%">
                  <c:v>0.73</c:v>
                </c:pt>
                <c:pt idx="31" c:formatCode="0.00%">
                  <c:v>0.74</c:v>
                </c:pt>
                <c:pt idx="32" c:formatCode="0.00%">
                  <c:v>0.75</c:v>
                </c:pt>
                <c:pt idx="33" c:formatCode="0.00%">
                  <c:v>0.76</c:v>
                </c:pt>
                <c:pt idx="34" c:formatCode="0.00%">
                  <c:v>0.77</c:v>
                </c:pt>
                <c:pt idx="35" c:formatCode="0.00%">
                  <c:v>0.78</c:v>
                </c:pt>
                <c:pt idx="36" c:formatCode="0.00%">
                  <c:v>0.79</c:v>
                </c:pt>
                <c:pt idx="37" c:formatCode="0.00%">
                  <c:v>0.8</c:v>
                </c:pt>
                <c:pt idx="38" c:formatCode="0.00%">
                  <c:v>0.81</c:v>
                </c:pt>
                <c:pt idx="39" c:formatCode="0.00%">
                  <c:v>0.82</c:v>
                </c:pt>
                <c:pt idx="40" c:formatCode="0.00%">
                  <c:v>0.83</c:v>
                </c:pt>
                <c:pt idx="41" c:formatCode="0.00%">
                  <c:v>0.84</c:v>
                </c:pt>
                <c:pt idx="42" c:formatCode="0.00%">
                  <c:v>0.85</c:v>
                </c:pt>
                <c:pt idx="43" c:formatCode="0.00%">
                  <c:v>0.86</c:v>
                </c:pt>
                <c:pt idx="44" c:formatCode="0.00%">
                  <c:v>0.87</c:v>
                </c:pt>
                <c:pt idx="45" c:formatCode="0.00%">
                  <c:v>0.88</c:v>
                </c:pt>
                <c:pt idx="46" c:formatCode="0.00%">
                  <c:v>0.89</c:v>
                </c:pt>
                <c:pt idx="47" c:formatCode="0.00%">
                  <c:v>0.9</c:v>
                </c:pt>
                <c:pt idx="48" c:formatCode="0.00%">
                  <c:v>0.91</c:v>
                </c:pt>
                <c:pt idx="49" c:formatCode="0.00%">
                  <c:v>0.92</c:v>
                </c:pt>
                <c:pt idx="50" c:formatCode="0.00%">
                  <c:v>0.93</c:v>
                </c:pt>
                <c:pt idx="51" c:formatCode="0.00%">
                  <c:v>0.94</c:v>
                </c:pt>
                <c:pt idx="52" c:formatCode="0.00%">
                  <c:v>0.95</c:v>
                </c:pt>
                <c:pt idx="53" c:formatCode="0.00%">
                  <c:v>0.96</c:v>
                </c:pt>
                <c:pt idx="54" c:formatCode="0.00%">
                  <c:v>0.97</c:v>
                </c:pt>
                <c:pt idx="55" c:formatCode="0.00%">
                  <c:v>0.98</c:v>
                </c:pt>
                <c:pt idx="56" c:formatCode="0.00%">
                  <c:v>0.99</c:v>
                </c:pt>
                <c:pt idx="57" c:formatCode="0.00%">
                  <c:v>1</c:v>
                </c:pt>
                <c:pt idx="58" c:formatCode="0.00%">
                  <c:v>1.01</c:v>
                </c:pt>
                <c:pt idx="59" c:formatCode="0.00%">
                  <c:v>1.02</c:v>
                </c:pt>
                <c:pt idx="60" c:formatCode="0.00%">
                  <c:v>1.03</c:v>
                </c:pt>
                <c:pt idx="61" c:formatCode="0.00%">
                  <c:v>1.04</c:v>
                </c:pt>
                <c:pt idx="62" c:formatCode="0.00%">
                  <c:v>1.05</c:v>
                </c:pt>
                <c:pt idx="63" c:formatCode="0.00%">
                  <c:v>1.06</c:v>
                </c:pt>
                <c:pt idx="64" c:formatCode="0.00%">
                  <c:v>1.07</c:v>
                </c:pt>
                <c:pt idx="65" c:formatCode="0.00%">
                  <c:v>1.08</c:v>
                </c:pt>
                <c:pt idx="66" c:formatCode="0.00%">
                  <c:v>1.09</c:v>
                </c:pt>
                <c:pt idx="67" c:formatCode="0.00%">
                  <c:v>1.1</c:v>
                </c:pt>
                <c:pt idx="68" c:formatCode="0.00%">
                  <c:v>1.11</c:v>
                </c:pt>
                <c:pt idx="69" c:formatCode="0.00%">
                  <c:v>1.12</c:v>
                </c:pt>
                <c:pt idx="70" c:formatCode="0.00%">
                  <c:v>1.13</c:v>
                </c:pt>
                <c:pt idx="71" c:formatCode="0.00%">
                  <c:v>1.14</c:v>
                </c:pt>
                <c:pt idx="72" c:formatCode="0.00%">
                  <c:v>1.15</c:v>
                </c:pt>
                <c:pt idx="73" c:formatCode="0.00%">
                  <c:v>1.16</c:v>
                </c:pt>
                <c:pt idx="74" c:formatCode="0.00%">
                  <c:v>1.17</c:v>
                </c:pt>
                <c:pt idx="75" c:formatCode="0.00%">
                  <c:v>1.18</c:v>
                </c:pt>
                <c:pt idx="76" c:formatCode="0.00%">
                  <c:v>1.19</c:v>
                </c:pt>
                <c:pt idx="77" c:formatCode="0.00%">
                  <c:v>1.2</c:v>
                </c:pt>
                <c:pt idx="78" c:formatCode="0.00%">
                  <c:v>1.21</c:v>
                </c:pt>
                <c:pt idx="79" c:formatCode="0.00%">
                  <c:v>1.22</c:v>
                </c:pt>
                <c:pt idx="80" c:formatCode="0.00%">
                  <c:v>1.23</c:v>
                </c:pt>
                <c:pt idx="81" c:formatCode="0.00%">
                  <c:v>1.24</c:v>
                </c:pt>
                <c:pt idx="82" c:formatCode="0.00%">
                  <c:v>1.25</c:v>
                </c:pt>
                <c:pt idx="83" c:formatCode="0.00%">
                  <c:v>1.26</c:v>
                </c:pt>
                <c:pt idx="84" c:formatCode="0.00%">
                  <c:v>1.27</c:v>
                </c:pt>
                <c:pt idx="85" c:formatCode="0.00%">
                  <c:v>1.28</c:v>
                </c:pt>
                <c:pt idx="86" c:formatCode="0.00%">
                  <c:v>1.29</c:v>
                </c:pt>
                <c:pt idx="87" c:formatCode="0.00%">
                  <c:v>1.3</c:v>
                </c:pt>
                <c:pt idx="88" c:formatCode="0.00%">
                  <c:v>1.31</c:v>
                </c:pt>
                <c:pt idx="89" c:formatCode="0.00%">
                  <c:v>1.32</c:v>
                </c:pt>
                <c:pt idx="90" c:formatCode="0.00%">
                  <c:v>1.33</c:v>
                </c:pt>
                <c:pt idx="91" c:formatCode="0.00%">
                  <c:v>1.34</c:v>
                </c:pt>
                <c:pt idx="92" c:formatCode="0.00%">
                  <c:v>1.35</c:v>
                </c:pt>
                <c:pt idx="93" c:formatCode="0.00%">
                  <c:v>1.36</c:v>
                </c:pt>
                <c:pt idx="94" c:formatCode="0.00%">
                  <c:v>1.37</c:v>
                </c:pt>
                <c:pt idx="95" c:formatCode="0.00%">
                  <c:v>1.38</c:v>
                </c:pt>
                <c:pt idx="96" c:formatCode="0.00%">
                  <c:v>1.39</c:v>
                </c:pt>
                <c:pt idx="97" c:formatCode="0.00%">
                  <c:v>1.4</c:v>
                </c:pt>
                <c:pt idx="98" c:formatCode="0.00%">
                  <c:v>1.41</c:v>
                </c:pt>
                <c:pt idx="99" c:formatCode="0.00%">
                  <c:v>1.42</c:v>
                </c:pt>
                <c:pt idx="100" c:formatCode="0.00%">
                  <c:v>1.43</c:v>
                </c:pt>
                <c:pt idx="101" c:formatCode="0.00%">
                  <c:v>1.44</c:v>
                </c:pt>
                <c:pt idx="102" c:formatCode="0.00%">
                  <c:v>1.45</c:v>
                </c:pt>
                <c:pt idx="103" c:formatCode="0.00%">
                  <c:v>1.46</c:v>
                </c:pt>
                <c:pt idx="104" c:formatCode="0.00%">
                  <c:v>1.47</c:v>
                </c:pt>
                <c:pt idx="105" c:formatCode="0.00%">
                  <c:v>1.48</c:v>
                </c:pt>
                <c:pt idx="106" c:formatCode="0.00%">
                  <c:v>1.49</c:v>
                </c:pt>
                <c:pt idx="107" c:formatCode="0.00%">
                  <c:v>1.5</c:v>
                </c:pt>
                <c:pt idx="108" c:formatCode="0.00%">
                  <c:v>1.51</c:v>
                </c:pt>
                <c:pt idx="109" c:formatCode="0.00%">
                  <c:v>1.52</c:v>
                </c:pt>
                <c:pt idx="110" c:formatCode="0.00%">
                  <c:v>1.53</c:v>
                </c:pt>
                <c:pt idx="111" c:formatCode="0.00%">
                  <c:v>1.54</c:v>
                </c:pt>
                <c:pt idx="112" c:formatCode="0.00%">
                  <c:v>1.55</c:v>
                </c:pt>
                <c:pt idx="113" c:formatCode="0.00%">
                  <c:v>1.56</c:v>
                </c:pt>
                <c:pt idx="114" c:formatCode="0.00%">
                  <c:v>1.57</c:v>
                </c:pt>
                <c:pt idx="115" c:formatCode="0.00%">
                  <c:v>1.58</c:v>
                </c:pt>
                <c:pt idx="116" c:formatCode="0.00%">
                  <c:v>1.59</c:v>
                </c:pt>
                <c:pt idx="117" c:formatCode="0.00%">
                  <c:v>1.6</c:v>
                </c:pt>
                <c:pt idx="118" c:formatCode="0.00%">
                  <c:v>1.61</c:v>
                </c:pt>
                <c:pt idx="119" c:formatCode="0.00%">
                  <c:v>1.62</c:v>
                </c:pt>
                <c:pt idx="120" c:formatCode="0.00%">
                  <c:v>1.63</c:v>
                </c:pt>
                <c:pt idx="121" c:formatCode="0.00%">
                  <c:v>1.64</c:v>
                </c:pt>
                <c:pt idx="122" c:formatCode="0.00%">
                  <c:v>1.65</c:v>
                </c:pt>
                <c:pt idx="123" c:formatCode="0.00%">
                  <c:v>1.66</c:v>
                </c:pt>
                <c:pt idx="124" c:formatCode="0.00%">
                  <c:v>1.67</c:v>
                </c:pt>
                <c:pt idx="125" c:formatCode="0.00%">
                  <c:v>1.68</c:v>
                </c:pt>
                <c:pt idx="126" c:formatCode="0.00%">
                  <c:v>1.69</c:v>
                </c:pt>
                <c:pt idx="127" c:formatCode="0.00%">
                  <c:v>1.7</c:v>
                </c:pt>
                <c:pt idx="128" c:formatCode="0.00%">
                  <c:v>1.71</c:v>
                </c:pt>
                <c:pt idx="129" c:formatCode="0.00%">
                  <c:v>1.72</c:v>
                </c:pt>
                <c:pt idx="130" c:formatCode="0.00%">
                  <c:v>1.73</c:v>
                </c:pt>
                <c:pt idx="131" c:formatCode="0.00%">
                  <c:v>1.74</c:v>
                </c:pt>
                <c:pt idx="132" c:formatCode="0.00%">
                  <c:v>1.75</c:v>
                </c:pt>
                <c:pt idx="133" c:formatCode="0.00%">
                  <c:v>1.76</c:v>
                </c:pt>
                <c:pt idx="134" c:formatCode="0.00%">
                  <c:v>1.77</c:v>
                </c:pt>
                <c:pt idx="135" c:formatCode="0.00%">
                  <c:v>1.78</c:v>
                </c:pt>
                <c:pt idx="136" c:formatCode="0.00%">
                  <c:v>1.79</c:v>
                </c:pt>
                <c:pt idx="137" c:formatCode="0.00%">
                  <c:v>1.8</c:v>
                </c:pt>
                <c:pt idx="138" c:formatCode="0.00%">
                  <c:v>1.81</c:v>
                </c:pt>
                <c:pt idx="139" c:formatCode="0.00%">
                  <c:v>1.82</c:v>
                </c:pt>
                <c:pt idx="140" c:formatCode="0.00%">
                  <c:v>1.83</c:v>
                </c:pt>
                <c:pt idx="141" c:formatCode="0.00%">
                  <c:v>1.84</c:v>
                </c:pt>
                <c:pt idx="142" c:formatCode="0.00%">
                  <c:v>1.85</c:v>
                </c:pt>
                <c:pt idx="143" c:formatCode="0.00%">
                  <c:v>1.86</c:v>
                </c:pt>
                <c:pt idx="144" c:formatCode="0.00%">
                  <c:v>1.87</c:v>
                </c:pt>
                <c:pt idx="145" c:formatCode="0.00%">
                  <c:v>1.88</c:v>
                </c:pt>
                <c:pt idx="146" c:formatCode="0.00%">
                  <c:v>1.89</c:v>
                </c:pt>
                <c:pt idx="147" c:formatCode="0.00%">
                  <c:v>1.9</c:v>
                </c:pt>
                <c:pt idx="148" c:formatCode="0.00%">
                  <c:v>1.91</c:v>
                </c:pt>
                <c:pt idx="149" c:formatCode="0.00%">
                  <c:v>1.92</c:v>
                </c:pt>
                <c:pt idx="150" c:formatCode="0.00%">
                  <c:v>1.93</c:v>
                </c:pt>
                <c:pt idx="151" c:formatCode="0.00%">
                  <c:v>1.94</c:v>
                </c:pt>
                <c:pt idx="152" c:formatCode="0.00%">
                  <c:v>1.95</c:v>
                </c:pt>
                <c:pt idx="153" c:formatCode="0.00%">
                  <c:v>1.96</c:v>
                </c:pt>
                <c:pt idx="154" c:formatCode="0.00%">
                  <c:v>1.97</c:v>
                </c:pt>
                <c:pt idx="155" c:formatCode="0.00%">
                  <c:v>1.98</c:v>
                </c:pt>
                <c:pt idx="156" c:formatCode="0.00%">
                  <c:v>1.99</c:v>
                </c:pt>
                <c:pt idx="157" c:formatCode="0.00%">
                  <c:v>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544704"/>
        <c:axId val="441546240"/>
      </c:scatterChart>
      <c:valAx>
        <c:axId val="441544704"/>
        <c:scaling>
          <c:orientation val="minMax"/>
          <c:min val="0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41546240"/>
        <c:crosses val="autoZero"/>
        <c:crossBetween val="midCat"/>
      </c:valAx>
      <c:valAx>
        <c:axId val="441546240"/>
        <c:scaling>
          <c:orientation val="minMax"/>
        </c:scaling>
        <c:delete val="0"/>
        <c:axPos val="l"/>
        <c:majorGridlines/>
        <c:numFmt formatCode="0.0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4154470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"伤害加成"</c:f>
              <c:strCache>
                <c:ptCount val="1"/>
                <c:pt idx="0">
                  <c:v>伤害加成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strRef>
              <c:f>技能平衡!$AH:$AH</c:f>
              <c:strCache>
                <c:ptCount val="1048576"/>
                <c:pt idx="0">
                  <c:v>王者等级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61</c:v>
                </c:pt>
                <c:pt idx="19">
                  <c:v>62</c:v>
                </c:pt>
                <c:pt idx="20">
                  <c:v>63</c:v>
                </c:pt>
                <c:pt idx="21">
                  <c:v>64</c:v>
                </c:pt>
                <c:pt idx="22">
                  <c:v>65</c:v>
                </c:pt>
                <c:pt idx="23">
                  <c:v>66</c:v>
                </c:pt>
                <c:pt idx="24">
                  <c:v>67</c:v>
                </c:pt>
                <c:pt idx="25">
                  <c:v>68</c:v>
                </c:pt>
                <c:pt idx="26">
                  <c:v>69</c:v>
                </c:pt>
                <c:pt idx="27">
                  <c:v>70</c:v>
                </c:pt>
                <c:pt idx="28">
                  <c:v>71</c:v>
                </c:pt>
                <c:pt idx="29">
                  <c:v>72</c:v>
                </c:pt>
                <c:pt idx="30">
                  <c:v>73</c:v>
                </c:pt>
                <c:pt idx="31">
                  <c:v>74</c:v>
                </c:pt>
                <c:pt idx="32">
                  <c:v>75</c:v>
                </c:pt>
                <c:pt idx="33">
                  <c:v>76</c:v>
                </c:pt>
                <c:pt idx="34">
                  <c:v>77</c:v>
                </c:pt>
                <c:pt idx="35">
                  <c:v>78</c:v>
                </c:pt>
                <c:pt idx="36">
                  <c:v>79</c:v>
                </c:pt>
                <c:pt idx="37">
                  <c:v>80</c:v>
                </c:pt>
                <c:pt idx="38">
                  <c:v>81</c:v>
                </c:pt>
                <c:pt idx="39">
                  <c:v>82</c:v>
                </c:pt>
                <c:pt idx="40">
                  <c:v>83</c:v>
                </c:pt>
                <c:pt idx="41">
                  <c:v>84</c:v>
                </c:pt>
                <c:pt idx="42">
                  <c:v>85</c:v>
                </c:pt>
                <c:pt idx="43">
                  <c:v>86</c:v>
                </c:pt>
                <c:pt idx="44">
                  <c:v>87</c:v>
                </c:pt>
                <c:pt idx="45">
                  <c:v>88</c:v>
                </c:pt>
                <c:pt idx="46">
                  <c:v>89</c:v>
                </c:pt>
                <c:pt idx="47">
                  <c:v>90</c:v>
                </c:pt>
                <c:pt idx="48">
                  <c:v>91</c:v>
                </c:pt>
                <c:pt idx="49">
                  <c:v>92</c:v>
                </c:pt>
                <c:pt idx="50">
                  <c:v>93</c:v>
                </c:pt>
                <c:pt idx="51">
                  <c:v>94</c:v>
                </c:pt>
                <c:pt idx="52">
                  <c:v>95</c:v>
                </c:pt>
                <c:pt idx="53">
                  <c:v>96</c:v>
                </c:pt>
                <c:pt idx="54">
                  <c:v>97</c:v>
                </c:pt>
                <c:pt idx="55">
                  <c:v>98</c:v>
                </c:pt>
                <c:pt idx="56">
                  <c:v>99</c:v>
                </c:pt>
                <c:pt idx="57">
                  <c:v>100</c:v>
                </c:pt>
                <c:pt idx="58">
                  <c:v>101</c:v>
                </c:pt>
                <c:pt idx="59">
                  <c:v>102</c:v>
                </c:pt>
                <c:pt idx="60">
                  <c:v>103</c:v>
                </c:pt>
                <c:pt idx="61">
                  <c:v>104</c:v>
                </c:pt>
                <c:pt idx="62">
                  <c:v>105</c:v>
                </c:pt>
                <c:pt idx="63">
                  <c:v>106</c:v>
                </c:pt>
                <c:pt idx="64">
                  <c:v>107</c:v>
                </c:pt>
                <c:pt idx="65">
                  <c:v>108</c:v>
                </c:pt>
                <c:pt idx="66">
                  <c:v>109</c:v>
                </c:pt>
                <c:pt idx="67">
                  <c:v>110</c:v>
                </c:pt>
                <c:pt idx="68">
                  <c:v>111</c:v>
                </c:pt>
                <c:pt idx="69">
                  <c:v>112</c:v>
                </c:pt>
                <c:pt idx="70">
                  <c:v>113</c:v>
                </c:pt>
                <c:pt idx="71">
                  <c:v>114</c:v>
                </c:pt>
                <c:pt idx="72">
                  <c:v>115</c:v>
                </c:pt>
                <c:pt idx="73">
                  <c:v>116</c:v>
                </c:pt>
                <c:pt idx="74">
                  <c:v>117</c:v>
                </c:pt>
                <c:pt idx="75">
                  <c:v>118</c:v>
                </c:pt>
                <c:pt idx="76">
                  <c:v>119</c:v>
                </c:pt>
                <c:pt idx="77">
                  <c:v>120</c:v>
                </c:pt>
                <c:pt idx="78">
                  <c:v>121</c:v>
                </c:pt>
                <c:pt idx="79">
                  <c:v>122</c:v>
                </c:pt>
                <c:pt idx="80">
                  <c:v>123</c:v>
                </c:pt>
                <c:pt idx="81">
                  <c:v>124</c:v>
                </c:pt>
                <c:pt idx="82">
                  <c:v>125</c:v>
                </c:pt>
                <c:pt idx="83">
                  <c:v>126</c:v>
                </c:pt>
                <c:pt idx="84">
                  <c:v>127</c:v>
                </c:pt>
                <c:pt idx="85">
                  <c:v>128</c:v>
                </c:pt>
                <c:pt idx="86">
                  <c:v>129</c:v>
                </c:pt>
                <c:pt idx="87">
                  <c:v>130</c:v>
                </c:pt>
                <c:pt idx="88">
                  <c:v>131</c:v>
                </c:pt>
                <c:pt idx="89">
                  <c:v>132</c:v>
                </c:pt>
                <c:pt idx="90">
                  <c:v>133</c:v>
                </c:pt>
                <c:pt idx="91">
                  <c:v>134</c:v>
                </c:pt>
                <c:pt idx="92">
                  <c:v>135</c:v>
                </c:pt>
                <c:pt idx="93">
                  <c:v>136</c:v>
                </c:pt>
                <c:pt idx="94">
                  <c:v>137</c:v>
                </c:pt>
                <c:pt idx="95">
                  <c:v>138</c:v>
                </c:pt>
                <c:pt idx="96">
                  <c:v>139</c:v>
                </c:pt>
                <c:pt idx="97">
                  <c:v>140</c:v>
                </c:pt>
                <c:pt idx="98">
                  <c:v>141</c:v>
                </c:pt>
                <c:pt idx="99">
                  <c:v>142</c:v>
                </c:pt>
                <c:pt idx="100">
                  <c:v>143</c:v>
                </c:pt>
                <c:pt idx="101">
                  <c:v>144</c:v>
                </c:pt>
                <c:pt idx="102">
                  <c:v>145</c:v>
                </c:pt>
                <c:pt idx="103">
                  <c:v>146</c:v>
                </c:pt>
                <c:pt idx="104">
                  <c:v>147</c:v>
                </c:pt>
                <c:pt idx="105">
                  <c:v>148</c:v>
                </c:pt>
                <c:pt idx="106">
                  <c:v>149</c:v>
                </c:pt>
                <c:pt idx="107">
                  <c:v>150</c:v>
                </c:pt>
                <c:pt idx="108">
                  <c:v>151</c:v>
                </c:pt>
                <c:pt idx="109">
                  <c:v>152</c:v>
                </c:pt>
                <c:pt idx="110">
                  <c:v>153</c:v>
                </c:pt>
                <c:pt idx="111">
                  <c:v>154</c:v>
                </c:pt>
                <c:pt idx="112">
                  <c:v>155</c:v>
                </c:pt>
                <c:pt idx="113">
                  <c:v>156</c:v>
                </c:pt>
                <c:pt idx="114">
                  <c:v>157</c:v>
                </c:pt>
                <c:pt idx="115">
                  <c:v>158</c:v>
                </c:pt>
                <c:pt idx="116">
                  <c:v>159</c:v>
                </c:pt>
                <c:pt idx="117">
                  <c:v>160</c:v>
                </c:pt>
                <c:pt idx="118">
                  <c:v>161</c:v>
                </c:pt>
                <c:pt idx="119">
                  <c:v>162</c:v>
                </c:pt>
                <c:pt idx="120">
                  <c:v>163</c:v>
                </c:pt>
                <c:pt idx="121">
                  <c:v>164</c:v>
                </c:pt>
                <c:pt idx="122">
                  <c:v>165</c:v>
                </c:pt>
                <c:pt idx="123">
                  <c:v>166</c:v>
                </c:pt>
                <c:pt idx="124">
                  <c:v>167</c:v>
                </c:pt>
                <c:pt idx="125">
                  <c:v>168</c:v>
                </c:pt>
                <c:pt idx="126">
                  <c:v>169</c:v>
                </c:pt>
                <c:pt idx="127">
                  <c:v>170</c:v>
                </c:pt>
                <c:pt idx="128">
                  <c:v>171</c:v>
                </c:pt>
                <c:pt idx="129">
                  <c:v>172</c:v>
                </c:pt>
                <c:pt idx="130">
                  <c:v>173</c:v>
                </c:pt>
                <c:pt idx="131">
                  <c:v>174</c:v>
                </c:pt>
                <c:pt idx="132">
                  <c:v>175</c:v>
                </c:pt>
                <c:pt idx="133">
                  <c:v>176</c:v>
                </c:pt>
                <c:pt idx="134">
                  <c:v>177</c:v>
                </c:pt>
                <c:pt idx="135">
                  <c:v>178</c:v>
                </c:pt>
                <c:pt idx="136">
                  <c:v>179</c:v>
                </c:pt>
                <c:pt idx="137">
                  <c:v>180</c:v>
                </c:pt>
                <c:pt idx="138">
                  <c:v>181</c:v>
                </c:pt>
                <c:pt idx="139">
                  <c:v>182</c:v>
                </c:pt>
                <c:pt idx="140">
                  <c:v>183</c:v>
                </c:pt>
                <c:pt idx="141">
                  <c:v>184</c:v>
                </c:pt>
                <c:pt idx="142">
                  <c:v>185</c:v>
                </c:pt>
                <c:pt idx="143">
                  <c:v>186</c:v>
                </c:pt>
                <c:pt idx="144">
                  <c:v>187</c:v>
                </c:pt>
                <c:pt idx="145">
                  <c:v>188</c:v>
                </c:pt>
                <c:pt idx="146">
                  <c:v>189</c:v>
                </c:pt>
                <c:pt idx="147">
                  <c:v>190</c:v>
                </c:pt>
                <c:pt idx="148">
                  <c:v>191</c:v>
                </c:pt>
                <c:pt idx="149">
                  <c:v>192</c:v>
                </c:pt>
                <c:pt idx="150">
                  <c:v>193</c:v>
                </c:pt>
                <c:pt idx="151">
                  <c:v>194</c:v>
                </c:pt>
                <c:pt idx="152">
                  <c:v>195</c:v>
                </c:pt>
                <c:pt idx="153">
                  <c:v>196</c:v>
                </c:pt>
                <c:pt idx="154">
                  <c:v>197</c:v>
                </c:pt>
                <c:pt idx="155">
                  <c:v>198</c:v>
                </c:pt>
                <c:pt idx="156">
                  <c:v>199</c:v>
                </c:pt>
                <c:pt idx="157">
                  <c:v>200</c:v>
                </c:pt>
              </c:strCache>
            </c:strRef>
          </c:xVal>
          <c:yVal>
            <c:numRef>
              <c:f>技能平衡!$AI:$AI</c:f>
              <c:numCache>
                <c:formatCode>General</c:formatCode>
                <c:ptCount val="1048576"/>
                <c:pt idx="0">
                  <c:v>0</c:v>
                </c:pt>
                <c:pt idx="1" c:formatCode="0.00%">
                  <c:v>0</c:v>
                </c:pt>
                <c:pt idx="2" c:formatCode="0.00%">
                  <c:v>0.01</c:v>
                </c:pt>
                <c:pt idx="3" c:formatCode="0.00%">
                  <c:v>0.02</c:v>
                </c:pt>
                <c:pt idx="4" c:formatCode="0.00%">
                  <c:v>0.03</c:v>
                </c:pt>
                <c:pt idx="5" c:formatCode="0.00%">
                  <c:v>0.04</c:v>
                </c:pt>
                <c:pt idx="6" c:formatCode="0.00%">
                  <c:v>0.05</c:v>
                </c:pt>
                <c:pt idx="7" c:formatCode="0.00%">
                  <c:v>0.06</c:v>
                </c:pt>
                <c:pt idx="8" c:formatCode="0.00%">
                  <c:v>0.07</c:v>
                </c:pt>
                <c:pt idx="9" c:formatCode="0.00%">
                  <c:v>0.08</c:v>
                </c:pt>
                <c:pt idx="10" c:formatCode="0.00%">
                  <c:v>0.09</c:v>
                </c:pt>
                <c:pt idx="11" c:formatCode="0.00%">
                  <c:v>0.1</c:v>
                </c:pt>
                <c:pt idx="12" c:formatCode="0.00%">
                  <c:v>0.11</c:v>
                </c:pt>
                <c:pt idx="13" c:formatCode="0.00%">
                  <c:v>0.12</c:v>
                </c:pt>
                <c:pt idx="14" c:formatCode="0.00%">
                  <c:v>0.13</c:v>
                </c:pt>
                <c:pt idx="15" c:formatCode="0.00%">
                  <c:v>0.14</c:v>
                </c:pt>
                <c:pt idx="16" c:formatCode="0.00%">
                  <c:v>0.15</c:v>
                </c:pt>
                <c:pt idx="17" c:formatCode="0.00%">
                  <c:v>0.16</c:v>
                </c:pt>
                <c:pt idx="18" c:formatCode="0.00%">
                  <c:v>0.61</c:v>
                </c:pt>
                <c:pt idx="19" c:formatCode="0.00%">
                  <c:v>0.62</c:v>
                </c:pt>
                <c:pt idx="20" c:formatCode="0.00%">
                  <c:v>0.63</c:v>
                </c:pt>
                <c:pt idx="21" c:formatCode="0.00%">
                  <c:v>0.64</c:v>
                </c:pt>
                <c:pt idx="22" c:formatCode="0.00%">
                  <c:v>0.65</c:v>
                </c:pt>
                <c:pt idx="23" c:formatCode="0.00%">
                  <c:v>0.66</c:v>
                </c:pt>
                <c:pt idx="24" c:formatCode="0.00%">
                  <c:v>0.67</c:v>
                </c:pt>
                <c:pt idx="25" c:formatCode="0.00%">
                  <c:v>0.68</c:v>
                </c:pt>
                <c:pt idx="26" c:formatCode="0.00%">
                  <c:v>0.69</c:v>
                </c:pt>
                <c:pt idx="27" c:formatCode="0.00%">
                  <c:v>0.7</c:v>
                </c:pt>
                <c:pt idx="28" c:formatCode="0.00%">
                  <c:v>0.71</c:v>
                </c:pt>
                <c:pt idx="29" c:formatCode="0.00%">
                  <c:v>0.72</c:v>
                </c:pt>
                <c:pt idx="30" c:formatCode="0.00%">
                  <c:v>0.73</c:v>
                </c:pt>
                <c:pt idx="31" c:formatCode="0.00%">
                  <c:v>0.74</c:v>
                </c:pt>
                <c:pt idx="32" c:formatCode="0.00%">
                  <c:v>0.75</c:v>
                </c:pt>
                <c:pt idx="33" c:formatCode="0.00%">
                  <c:v>0.76</c:v>
                </c:pt>
                <c:pt idx="34" c:formatCode="0.00%">
                  <c:v>0.77</c:v>
                </c:pt>
                <c:pt idx="35" c:formatCode="0.00%">
                  <c:v>0.78</c:v>
                </c:pt>
                <c:pt idx="36" c:formatCode="0.00%">
                  <c:v>0.79</c:v>
                </c:pt>
                <c:pt idx="37" c:formatCode="0.00%">
                  <c:v>0.8</c:v>
                </c:pt>
                <c:pt idx="38" c:formatCode="0.00%">
                  <c:v>0.81</c:v>
                </c:pt>
                <c:pt idx="39" c:formatCode="0.00%">
                  <c:v>0.82</c:v>
                </c:pt>
                <c:pt idx="40" c:formatCode="0.00%">
                  <c:v>0.83</c:v>
                </c:pt>
                <c:pt idx="41" c:formatCode="0.00%">
                  <c:v>0.84</c:v>
                </c:pt>
                <c:pt idx="42" c:formatCode="0.00%">
                  <c:v>0.85</c:v>
                </c:pt>
                <c:pt idx="43" c:formatCode="0.00%">
                  <c:v>0.86</c:v>
                </c:pt>
                <c:pt idx="44" c:formatCode="0.00%">
                  <c:v>0.87</c:v>
                </c:pt>
                <c:pt idx="45" c:formatCode="0.00%">
                  <c:v>0.88</c:v>
                </c:pt>
                <c:pt idx="46" c:formatCode="0.00%">
                  <c:v>0.89</c:v>
                </c:pt>
                <c:pt idx="47" c:formatCode="0.00%">
                  <c:v>0.9</c:v>
                </c:pt>
                <c:pt idx="48" c:formatCode="0.00%">
                  <c:v>0.91</c:v>
                </c:pt>
                <c:pt idx="49" c:formatCode="0.00%">
                  <c:v>0.92</c:v>
                </c:pt>
                <c:pt idx="50" c:formatCode="0.00%">
                  <c:v>0.93</c:v>
                </c:pt>
                <c:pt idx="51" c:formatCode="0.00%">
                  <c:v>0.94</c:v>
                </c:pt>
                <c:pt idx="52" c:formatCode="0.00%">
                  <c:v>0.95</c:v>
                </c:pt>
                <c:pt idx="53" c:formatCode="0.00%">
                  <c:v>0.96</c:v>
                </c:pt>
                <c:pt idx="54" c:formatCode="0.00%">
                  <c:v>0.97</c:v>
                </c:pt>
                <c:pt idx="55" c:formatCode="0.00%">
                  <c:v>0.98</c:v>
                </c:pt>
                <c:pt idx="56" c:formatCode="0.00%">
                  <c:v>0.99</c:v>
                </c:pt>
                <c:pt idx="57" c:formatCode="0.00%">
                  <c:v>1</c:v>
                </c:pt>
                <c:pt idx="58" c:formatCode="0.00%">
                  <c:v>1.01</c:v>
                </c:pt>
                <c:pt idx="59" c:formatCode="0.00%">
                  <c:v>1.02</c:v>
                </c:pt>
                <c:pt idx="60" c:formatCode="0.00%">
                  <c:v>1.03</c:v>
                </c:pt>
                <c:pt idx="61" c:formatCode="0.00%">
                  <c:v>1.04</c:v>
                </c:pt>
                <c:pt idx="62" c:formatCode="0.00%">
                  <c:v>1.05</c:v>
                </c:pt>
                <c:pt idx="63" c:formatCode="0.00%">
                  <c:v>1.06</c:v>
                </c:pt>
                <c:pt idx="64" c:formatCode="0.00%">
                  <c:v>1.07</c:v>
                </c:pt>
                <c:pt idx="65" c:formatCode="0.00%">
                  <c:v>1.08</c:v>
                </c:pt>
                <c:pt idx="66" c:formatCode="0.00%">
                  <c:v>1.09</c:v>
                </c:pt>
                <c:pt idx="67" c:formatCode="0.00%">
                  <c:v>1.1</c:v>
                </c:pt>
                <c:pt idx="68" c:formatCode="0.00%">
                  <c:v>1.11</c:v>
                </c:pt>
                <c:pt idx="69" c:formatCode="0.00%">
                  <c:v>1.12</c:v>
                </c:pt>
                <c:pt idx="70" c:formatCode="0.00%">
                  <c:v>1.13</c:v>
                </c:pt>
                <c:pt idx="71" c:formatCode="0.00%">
                  <c:v>1.14</c:v>
                </c:pt>
                <c:pt idx="72" c:formatCode="0.00%">
                  <c:v>1.15</c:v>
                </c:pt>
                <c:pt idx="73" c:formatCode="0.00%">
                  <c:v>1.16</c:v>
                </c:pt>
                <c:pt idx="74" c:formatCode="0.00%">
                  <c:v>1.17</c:v>
                </c:pt>
                <c:pt idx="75" c:formatCode="0.00%">
                  <c:v>1.18</c:v>
                </c:pt>
                <c:pt idx="76" c:formatCode="0.00%">
                  <c:v>1.19</c:v>
                </c:pt>
                <c:pt idx="77" c:formatCode="0.00%">
                  <c:v>1.2</c:v>
                </c:pt>
                <c:pt idx="78" c:formatCode="0.00%">
                  <c:v>1.21</c:v>
                </c:pt>
                <c:pt idx="79" c:formatCode="0.00%">
                  <c:v>1.22</c:v>
                </c:pt>
                <c:pt idx="80" c:formatCode="0.00%">
                  <c:v>1.23</c:v>
                </c:pt>
                <c:pt idx="81" c:formatCode="0.00%">
                  <c:v>1.24</c:v>
                </c:pt>
                <c:pt idx="82" c:formatCode="0.00%">
                  <c:v>1.25</c:v>
                </c:pt>
                <c:pt idx="83" c:formatCode="0.00%">
                  <c:v>1.26</c:v>
                </c:pt>
                <c:pt idx="84" c:formatCode="0.00%">
                  <c:v>1.27</c:v>
                </c:pt>
                <c:pt idx="85" c:formatCode="0.00%">
                  <c:v>1.28</c:v>
                </c:pt>
                <c:pt idx="86" c:formatCode="0.00%">
                  <c:v>1.29</c:v>
                </c:pt>
                <c:pt idx="87" c:formatCode="0.00%">
                  <c:v>1.3</c:v>
                </c:pt>
                <c:pt idx="88" c:formatCode="0.00%">
                  <c:v>1.31</c:v>
                </c:pt>
                <c:pt idx="89" c:formatCode="0.00%">
                  <c:v>1.32</c:v>
                </c:pt>
                <c:pt idx="90" c:formatCode="0.00%">
                  <c:v>1.33</c:v>
                </c:pt>
                <c:pt idx="91" c:formatCode="0.00%">
                  <c:v>1.34</c:v>
                </c:pt>
                <c:pt idx="92" c:formatCode="0.00%">
                  <c:v>1.35</c:v>
                </c:pt>
                <c:pt idx="93" c:formatCode="0.00%">
                  <c:v>1.36</c:v>
                </c:pt>
                <c:pt idx="94" c:formatCode="0.00%">
                  <c:v>1.37</c:v>
                </c:pt>
                <c:pt idx="95" c:formatCode="0.00%">
                  <c:v>1.38</c:v>
                </c:pt>
                <c:pt idx="96" c:formatCode="0.00%">
                  <c:v>1.39</c:v>
                </c:pt>
                <c:pt idx="97" c:formatCode="0.00%">
                  <c:v>1.4</c:v>
                </c:pt>
                <c:pt idx="98" c:formatCode="0.00%">
                  <c:v>1.41</c:v>
                </c:pt>
                <c:pt idx="99" c:formatCode="0.00%">
                  <c:v>1.42</c:v>
                </c:pt>
                <c:pt idx="100" c:formatCode="0.00%">
                  <c:v>1.43</c:v>
                </c:pt>
                <c:pt idx="101" c:formatCode="0.00%">
                  <c:v>1.44</c:v>
                </c:pt>
                <c:pt idx="102" c:formatCode="0.00%">
                  <c:v>1.45</c:v>
                </c:pt>
                <c:pt idx="103" c:formatCode="0.00%">
                  <c:v>1.46</c:v>
                </c:pt>
                <c:pt idx="104" c:formatCode="0.00%">
                  <c:v>1.47</c:v>
                </c:pt>
                <c:pt idx="105" c:formatCode="0.00%">
                  <c:v>1.48</c:v>
                </c:pt>
                <c:pt idx="106" c:formatCode="0.00%">
                  <c:v>1.49</c:v>
                </c:pt>
                <c:pt idx="107" c:formatCode="0.00%">
                  <c:v>1.5</c:v>
                </c:pt>
                <c:pt idx="108" c:formatCode="0.00%">
                  <c:v>1.51</c:v>
                </c:pt>
                <c:pt idx="109" c:formatCode="0.00%">
                  <c:v>1.52</c:v>
                </c:pt>
                <c:pt idx="110" c:formatCode="0.00%">
                  <c:v>1.53</c:v>
                </c:pt>
                <c:pt idx="111" c:formatCode="0.00%">
                  <c:v>1.54</c:v>
                </c:pt>
                <c:pt idx="112" c:formatCode="0.00%">
                  <c:v>1.55</c:v>
                </c:pt>
                <c:pt idx="113" c:formatCode="0.00%">
                  <c:v>1.56</c:v>
                </c:pt>
                <c:pt idx="114" c:formatCode="0.00%">
                  <c:v>1.57</c:v>
                </c:pt>
                <c:pt idx="115" c:formatCode="0.00%">
                  <c:v>1.58</c:v>
                </c:pt>
                <c:pt idx="116" c:formatCode="0.00%">
                  <c:v>1.59</c:v>
                </c:pt>
                <c:pt idx="117" c:formatCode="0.00%">
                  <c:v>1.6</c:v>
                </c:pt>
                <c:pt idx="118" c:formatCode="0.00%">
                  <c:v>1.61</c:v>
                </c:pt>
                <c:pt idx="119" c:formatCode="0.00%">
                  <c:v>1.62</c:v>
                </c:pt>
                <c:pt idx="120" c:formatCode="0.00%">
                  <c:v>1.63</c:v>
                </c:pt>
                <c:pt idx="121" c:formatCode="0.00%">
                  <c:v>1.64</c:v>
                </c:pt>
                <c:pt idx="122" c:formatCode="0.00%">
                  <c:v>1.65</c:v>
                </c:pt>
                <c:pt idx="123" c:formatCode="0.00%">
                  <c:v>1.66</c:v>
                </c:pt>
                <c:pt idx="124" c:formatCode="0.00%">
                  <c:v>1.67</c:v>
                </c:pt>
                <c:pt idx="125" c:formatCode="0.00%">
                  <c:v>1.68</c:v>
                </c:pt>
                <c:pt idx="126" c:formatCode="0.00%">
                  <c:v>1.69</c:v>
                </c:pt>
                <c:pt idx="127" c:formatCode="0.00%">
                  <c:v>1.7</c:v>
                </c:pt>
                <c:pt idx="128" c:formatCode="0.00%">
                  <c:v>1.71</c:v>
                </c:pt>
                <c:pt idx="129" c:formatCode="0.00%">
                  <c:v>1.72</c:v>
                </c:pt>
                <c:pt idx="130" c:formatCode="0.00%">
                  <c:v>1.73</c:v>
                </c:pt>
                <c:pt idx="131" c:formatCode="0.00%">
                  <c:v>1.74</c:v>
                </c:pt>
                <c:pt idx="132" c:formatCode="0.00%">
                  <c:v>1.75</c:v>
                </c:pt>
                <c:pt idx="133" c:formatCode="0.00%">
                  <c:v>1.76</c:v>
                </c:pt>
                <c:pt idx="134" c:formatCode="0.00%">
                  <c:v>1.77</c:v>
                </c:pt>
                <c:pt idx="135" c:formatCode="0.00%">
                  <c:v>1.78</c:v>
                </c:pt>
                <c:pt idx="136" c:formatCode="0.00%">
                  <c:v>1.79</c:v>
                </c:pt>
                <c:pt idx="137" c:formatCode="0.00%">
                  <c:v>1.8</c:v>
                </c:pt>
                <c:pt idx="138" c:formatCode="0.00%">
                  <c:v>1.81</c:v>
                </c:pt>
                <c:pt idx="139" c:formatCode="0.00%">
                  <c:v>1.82</c:v>
                </c:pt>
                <c:pt idx="140" c:formatCode="0.00%">
                  <c:v>1.83</c:v>
                </c:pt>
                <c:pt idx="141" c:formatCode="0.00%">
                  <c:v>1.84</c:v>
                </c:pt>
                <c:pt idx="142" c:formatCode="0.00%">
                  <c:v>1.85</c:v>
                </c:pt>
                <c:pt idx="143" c:formatCode="0.00%">
                  <c:v>1.86</c:v>
                </c:pt>
                <c:pt idx="144" c:formatCode="0.00%">
                  <c:v>1.87</c:v>
                </c:pt>
                <c:pt idx="145" c:formatCode="0.00%">
                  <c:v>1.88</c:v>
                </c:pt>
                <c:pt idx="146" c:formatCode="0.00%">
                  <c:v>1.89</c:v>
                </c:pt>
                <c:pt idx="147" c:formatCode="0.00%">
                  <c:v>1.9</c:v>
                </c:pt>
                <c:pt idx="148" c:formatCode="0.00%">
                  <c:v>1.91</c:v>
                </c:pt>
                <c:pt idx="149" c:formatCode="0.00%">
                  <c:v>1.92</c:v>
                </c:pt>
                <c:pt idx="150" c:formatCode="0.00%">
                  <c:v>1.93</c:v>
                </c:pt>
                <c:pt idx="151" c:formatCode="0.00%">
                  <c:v>1.94</c:v>
                </c:pt>
                <c:pt idx="152" c:formatCode="0.00%">
                  <c:v>1.95</c:v>
                </c:pt>
                <c:pt idx="153" c:formatCode="0.00%">
                  <c:v>1.96</c:v>
                </c:pt>
                <c:pt idx="154" c:formatCode="0.00%">
                  <c:v>1.97</c:v>
                </c:pt>
                <c:pt idx="155" c:formatCode="0.00%">
                  <c:v>1.98</c:v>
                </c:pt>
                <c:pt idx="156" c:formatCode="0.00%">
                  <c:v>1.99</c:v>
                </c:pt>
                <c:pt idx="157" c:formatCode="0.00%">
                  <c:v>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871488"/>
        <c:axId val="451873024"/>
      </c:scatterChart>
      <c:valAx>
        <c:axId val="4518714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51873024"/>
        <c:crosses val="autoZero"/>
        <c:crossBetween val="midCat"/>
      </c:valAx>
      <c:valAx>
        <c:axId val="451873024"/>
        <c:scaling>
          <c:orientation val="minMax"/>
        </c:scaling>
        <c:delete val="0"/>
        <c:axPos val="l"/>
        <c:majorGridlines/>
        <c:numFmt formatCode="0.0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51871488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36</xdr:col>
      <xdr:colOff>0</xdr:colOff>
      <xdr:row>2</xdr:row>
      <xdr:rowOff>0</xdr:rowOff>
    </xdr:from>
    <xdr:to>
      <xdr:col>42</xdr:col>
      <xdr:colOff>560296</xdr:colOff>
      <xdr:row>17</xdr:row>
      <xdr:rowOff>110941</xdr:rowOff>
    </xdr:to>
    <xdr:graphicFrame>
      <xdr:nvGraphicFramePr>
        <xdr:cNvPr id="6" name="图表 5"/>
        <xdr:cNvGraphicFramePr/>
      </xdr:nvGraphicFramePr>
      <xdr:xfrm>
        <a:off x="29479875" y="361950"/>
        <a:ext cx="4674870" cy="2815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18</xdr:row>
      <xdr:rowOff>0</xdr:rowOff>
    </xdr:from>
    <xdr:to>
      <xdr:col>42</xdr:col>
      <xdr:colOff>560296</xdr:colOff>
      <xdr:row>31</xdr:row>
      <xdr:rowOff>77323</xdr:rowOff>
    </xdr:to>
    <xdr:graphicFrame>
      <xdr:nvGraphicFramePr>
        <xdr:cNvPr id="9" name="图表 8"/>
        <xdr:cNvGraphicFramePr/>
      </xdr:nvGraphicFramePr>
      <xdr:xfrm>
        <a:off x="29479875" y="3238500"/>
        <a:ext cx="4674870" cy="2305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WPS">
      <a:dk1>
        <a:sysClr val="windowText" lastClr="000000"/>
      </a:dk1>
      <a:lt1>
        <a:sysClr val="window" lastClr="DEF1DE"/>
      </a:lt1>
      <a:dk2>
        <a:srgbClr val="00007F"/>
      </a:dk2>
      <a:lt2>
        <a:srgbClr val="FFFFFF"/>
      </a:lt2>
      <a:accent1>
        <a:srgbClr val="0000FF"/>
      </a:accent1>
      <a:accent2>
        <a:srgbClr val="FF0000"/>
      </a:accent2>
      <a:accent3>
        <a:srgbClr val="00FF00"/>
      </a:accent3>
      <a:accent4>
        <a:srgbClr val="7030A0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E24"/>
  <sheetViews>
    <sheetView workbookViewId="0">
      <selection activeCell="C3" sqref="C3"/>
    </sheetView>
  </sheetViews>
  <sheetFormatPr defaultColWidth="9" defaultRowHeight="13.5" outlineLevelCol="4"/>
  <cols>
    <col min="1" max="1" width="20.75" customWidth="1"/>
    <col min="5" max="5" width="14.5" customWidth="1"/>
  </cols>
  <sheetData>
    <row r="1" spans="1:5">
      <c r="A1" s="28" t="str">
        <f ca="1">IFERROR(HYPERLINK(工作簿索引&amp;"!A1",MID(工作簿索引,FIND("]",工作簿索引)+1,99)),"")</f>
        <v/>
      </c>
      <c r="D1" s="92" t="s">
        <v>0</v>
      </c>
      <c r="E1" s="93"/>
    </row>
    <row r="2" spans="1:1">
      <c r="A2" s="86" t="str">
        <f ca="1">IFERROR(HYPERLINK(工作簿索引&amp;"!A1",MID(工作簿索引,FIND("]",工作簿索引)+1,99)),"")</f>
        <v/>
      </c>
    </row>
    <row r="3" spans="1:1">
      <c r="A3" s="86" t="str">
        <f ca="1">IFERROR(HYPERLINK(工作簿索引&amp;"!A1",MID(工作簿索引,FIND("]",工作簿索引)+1,99)),"")</f>
        <v/>
      </c>
    </row>
    <row r="4" spans="1:1">
      <c r="A4" s="86" t="str">
        <f ca="1">IFERROR(HYPERLINK(工作簿索引&amp;"!A1",MID(工作簿索引,FIND("]",工作簿索引)+1,99)),"")</f>
        <v/>
      </c>
    </row>
    <row r="5" spans="1:1">
      <c r="A5" s="86" t="str">
        <f ca="1">IFERROR(HYPERLINK(工作簿索引&amp;"!A1",MID(工作簿索引,FIND("]",工作簿索引)+1,99)),"")</f>
        <v/>
      </c>
    </row>
    <row r="6" spans="1:1">
      <c r="A6" s="86" t="str">
        <f ca="1">IFERROR(HYPERLINK(工作簿索引&amp;"!A1",MID(工作簿索引,FIND("]",工作簿索引)+1,99)),"")</f>
        <v/>
      </c>
    </row>
    <row r="7" spans="1:1">
      <c r="A7" s="86" t="str">
        <f ca="1">IFERROR(HYPERLINK(工作簿索引&amp;"!A1",MID(工作簿索引,FIND("]",工作簿索引)+1,99)),"")</f>
        <v/>
      </c>
    </row>
    <row r="8" spans="1:1">
      <c r="A8" s="86" t="str">
        <f ca="1">IFERROR(HYPERLINK(工作簿索引&amp;"!A1",MID(工作簿索引,FIND("]",工作簿索引)+1,99)),"")</f>
        <v/>
      </c>
    </row>
    <row r="9" spans="1:1">
      <c r="A9" s="86" t="str">
        <f ca="1">IFERROR(HYPERLINK(工作簿索引&amp;"!A1",MID(工作簿索引,FIND("]",工作簿索引)+1,99)),"")</f>
        <v/>
      </c>
    </row>
    <row r="10" spans="1:1">
      <c r="A10" s="86" t="str">
        <f ca="1">IFERROR(HYPERLINK(工作簿索引&amp;"!A1",MID(工作簿索引,FIND("]",工作簿索引)+1,99)),"")</f>
        <v/>
      </c>
    </row>
    <row r="11" spans="1:1">
      <c r="A11" s="94" t="str">
        <f ca="1">IFERROR(HYPERLINK(工作簿索引&amp;"!A1",MID(工作簿索引,FIND("]",工作簿索引)+1,99)),"")</f>
        <v/>
      </c>
    </row>
    <row r="12" spans="1:1">
      <c r="A12" s="95" t="str">
        <f ca="1">IFERROR(HYPERLINK(工作簿索引&amp;"!A1",MID(工作簿索引,FIND("]",工作簿索引)+1,99)),"")</f>
        <v/>
      </c>
    </row>
    <row r="13" spans="1:1">
      <c r="A13" s="95" t="str">
        <f ca="1">IFERROR(HYPERLINK(工作簿索引&amp;"!A1",MID(工作簿索引,FIND("]",工作簿索引)+1,99)),"")</f>
        <v/>
      </c>
    </row>
    <row r="14" spans="1:1">
      <c r="A14" s="95" t="str">
        <f ca="1">IFERROR(HYPERLINK(工作簿索引&amp;"!A1",MID(工作簿索引,FIND("]",工作簿索引)+1,99)),"")</f>
        <v/>
      </c>
    </row>
    <row r="15" spans="1:1">
      <c r="A15" s="95" t="str">
        <f ca="1">IFERROR(HYPERLINK(工作簿索引&amp;"!A1",MID(工作簿索引,FIND("]",工作簿索引)+1,99)),"")</f>
        <v/>
      </c>
    </row>
    <row r="16" spans="1:1">
      <c r="A16" s="95" t="str">
        <f ca="1">IFERROR(HYPERLINK(工作簿索引&amp;"!A1",MID(工作簿索引,FIND("]",工作簿索引)+1,99)),"")</f>
        <v/>
      </c>
    </row>
    <row r="17" spans="1:1">
      <c r="A17" s="95" t="str">
        <f ca="1">IFERROR(HYPERLINK(工作簿索引&amp;"!A1",MID(工作簿索引,FIND("]",工作簿索引)+1,99)),"")</f>
        <v/>
      </c>
    </row>
    <row r="18" spans="1:1">
      <c r="A18" s="95" t="str">
        <f ca="1">IFERROR(HYPERLINK(工作簿索引&amp;"!A1",MID(工作簿索引,FIND("]",工作簿索引)+1,99)),"")</f>
        <v/>
      </c>
    </row>
    <row r="19" spans="1:1">
      <c r="A19" s="95" t="str">
        <f ca="1">IFERROR(HYPERLINK(工作簿索引&amp;"!A1",MID(工作簿索引,FIND("]",工作簿索引)+1,99)),"")</f>
        <v/>
      </c>
    </row>
    <row r="20" spans="1:1">
      <c r="A20" s="95" t="str">
        <f ca="1">IFERROR(HYPERLINK(工作簿索引&amp;"!A1",MID(工作簿索引,FIND("]",工作簿索引)+1,99)),"")</f>
        <v/>
      </c>
    </row>
    <row r="21" spans="1:1">
      <c r="A21" s="95" t="str">
        <f ca="1">IFERROR(HYPERLINK(工作簿索引&amp;"!A1",MID(工作簿索引,FIND("]",工作簿索引)+1,99)),"")</f>
        <v/>
      </c>
    </row>
    <row r="22" spans="1:1">
      <c r="A22" s="95" t="str">
        <f ca="1">IFERROR(HYPERLINK(工作簿索引&amp;"!A1",MID(工作簿索引,FIND("]",工作簿索引)+1,99)),"")</f>
        <v/>
      </c>
    </row>
    <row r="23" spans="1:1">
      <c r="A23" s="95" t="str">
        <f ca="1">IFERROR(HYPERLINK(工作簿索引&amp;"!A1",MID(工作簿索引,FIND("]",工作簿索引)+1,99)),"")</f>
        <v/>
      </c>
    </row>
    <row r="24" spans="1:1">
      <c r="A24" s="95" t="str">
        <f ca="1">IFERROR(HYPERLINK(工作簿索引&amp;"!A1",MID(工作簿索引,FIND("]",工作簿索引)+1,99)),"")</f>
        <v/>
      </c>
    </row>
  </sheetData>
  <mergeCells count="1">
    <mergeCell ref="D1:E1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249977111117893"/>
  </sheetPr>
  <dimension ref="A1:J25"/>
  <sheetViews>
    <sheetView workbookViewId="0">
      <selection activeCell="D20" sqref="D20"/>
    </sheetView>
  </sheetViews>
  <sheetFormatPr defaultColWidth="9" defaultRowHeight="13.5"/>
  <cols>
    <col min="1" max="1" width="12.125" customWidth="1"/>
    <col min="2" max="2" width="9.75" customWidth="1"/>
    <col min="3" max="3" width="11" customWidth="1"/>
    <col min="5" max="5" width="23" customWidth="1"/>
    <col min="6" max="6" width="9.5" style="1" customWidth="1"/>
    <col min="10" max="10" width="18.375" customWidth="1"/>
  </cols>
  <sheetData>
    <row r="1" spans="1:6">
      <c r="A1" s="86" t="s">
        <v>1</v>
      </c>
      <c r="B1" s="86" t="s">
        <v>2</v>
      </c>
      <c r="E1" s="87" t="s">
        <v>3</v>
      </c>
      <c r="F1" s="88">
        <v>10</v>
      </c>
    </row>
    <row r="2" spans="1:6">
      <c r="A2" s="68">
        <v>0</v>
      </c>
      <c r="B2" s="39" t="s">
        <v>4</v>
      </c>
      <c r="E2" s="87" t="s">
        <v>5</v>
      </c>
      <c r="F2" s="88">
        <v>2</v>
      </c>
    </row>
    <row r="3" spans="1:6">
      <c r="A3" s="68">
        <v>1</v>
      </c>
      <c r="B3" s="39" t="s">
        <v>6</v>
      </c>
      <c r="E3" s="87" t="s">
        <v>7</v>
      </c>
      <c r="F3" s="22">
        <v>3</v>
      </c>
    </row>
    <row r="4" spans="1:6">
      <c r="A4" s="68">
        <v>2</v>
      </c>
      <c r="B4" s="39" t="s">
        <v>8</v>
      </c>
      <c r="E4" s="87" t="s">
        <v>9</v>
      </c>
      <c r="F4" s="88">
        <v>100</v>
      </c>
    </row>
    <row r="5" spans="5:6">
      <c r="E5" s="87" t="s">
        <v>10</v>
      </c>
      <c r="F5" s="88">
        <v>60</v>
      </c>
    </row>
    <row r="6" spans="1:6">
      <c r="A6" s="86" t="s">
        <v>11</v>
      </c>
      <c r="B6" s="86" t="s">
        <v>12</v>
      </c>
      <c r="C6" s="86" t="s">
        <v>13</v>
      </c>
      <c r="E6" s="87" t="s">
        <v>14</v>
      </c>
      <c r="F6" s="88">
        <v>12</v>
      </c>
    </row>
    <row r="7" spans="1:6">
      <c r="A7" s="68">
        <v>0</v>
      </c>
      <c r="B7" s="89" t="s">
        <v>15</v>
      </c>
      <c r="C7" s="89">
        <v>5</v>
      </c>
      <c r="E7" s="87" t="s">
        <v>16</v>
      </c>
      <c r="F7" s="88">
        <v>5</v>
      </c>
    </row>
    <row r="8" spans="1:6">
      <c r="A8" s="68">
        <v>1</v>
      </c>
      <c r="B8" s="89" t="s">
        <v>17</v>
      </c>
      <c r="C8" s="89">
        <v>15</v>
      </c>
      <c r="E8" s="87" t="s">
        <v>18</v>
      </c>
      <c r="F8" s="22">
        <v>30</v>
      </c>
    </row>
    <row r="9" spans="1:6">
      <c r="A9" s="68">
        <v>2</v>
      </c>
      <c r="B9" s="89" t="s">
        <v>19</v>
      </c>
      <c r="C9" s="89">
        <v>50</v>
      </c>
      <c r="E9" s="87" t="s">
        <v>20</v>
      </c>
      <c r="F9" s="88">
        <v>1</v>
      </c>
    </row>
    <row r="10" spans="1:6">
      <c r="A10" s="68">
        <v>3</v>
      </c>
      <c r="B10" s="89" t="s">
        <v>21</v>
      </c>
      <c r="C10" s="89">
        <v>250</v>
      </c>
      <c r="E10" s="87" t="s">
        <v>22</v>
      </c>
      <c r="F10" s="88">
        <v>2</v>
      </c>
    </row>
    <row r="11" spans="1:6">
      <c r="A11" s="68">
        <v>4</v>
      </c>
      <c r="B11" s="89" t="s">
        <v>23</v>
      </c>
      <c r="C11" s="89">
        <v>1000</v>
      </c>
      <c r="E11" s="87" t="s">
        <v>24</v>
      </c>
      <c r="F11" s="88">
        <v>3</v>
      </c>
    </row>
    <row r="12" spans="1:6">
      <c r="A12" s="68">
        <v>5</v>
      </c>
      <c r="B12" s="89" t="s">
        <v>25</v>
      </c>
      <c r="C12" s="89">
        <v>3000</v>
      </c>
      <c r="E12" s="87" t="s">
        <v>26</v>
      </c>
      <c r="F12" s="90">
        <v>0.15</v>
      </c>
    </row>
    <row r="13" spans="5:6">
      <c r="E13" s="87" t="s">
        <v>27</v>
      </c>
      <c r="F13" s="91">
        <v>0.95</v>
      </c>
    </row>
    <row r="14" spans="5:6">
      <c r="E14" s="87" t="s">
        <v>28</v>
      </c>
      <c r="F14" s="91">
        <v>1.05</v>
      </c>
    </row>
    <row r="15" spans="5:6">
      <c r="E15" s="87" t="s">
        <v>29</v>
      </c>
      <c r="F15" s="22">
        <v>30</v>
      </c>
    </row>
    <row r="16" spans="5:6">
      <c r="E16" s="87" t="s">
        <v>30</v>
      </c>
      <c r="F16" s="88">
        <v>100</v>
      </c>
    </row>
    <row r="17" spans="5:10">
      <c r="E17" s="87" t="s">
        <v>31</v>
      </c>
      <c r="F17" s="88">
        <v>0.5</v>
      </c>
      <c r="J17" t="str">
        <f ca="1">IFERROR(HYPERLINK(工作簿索引&amp;"!A1",MID(工作簿索引,FIND("]",工作簿索引)+1,99)),"")</f>
        <v/>
      </c>
    </row>
    <row r="18" spans="5:10">
      <c r="E18" s="87" t="s">
        <v>32</v>
      </c>
      <c r="F18" s="88">
        <v>0.5</v>
      </c>
      <c r="J18" t="str">
        <f ca="1">IFERROR(HYPERLINK(工作簿索引&amp;"!A1",MID(工作簿索引,FIND("]",工作簿索引)+1,99)),"")</f>
        <v/>
      </c>
    </row>
    <row r="19" spans="5:6">
      <c r="E19" s="87" t="s">
        <v>33</v>
      </c>
      <c r="F19" s="88">
        <v>0.7</v>
      </c>
    </row>
    <row r="20" spans="10:10">
      <c r="J20" t="str">
        <f ca="1">IFERROR(HYPERLINK(工作簿索引&amp;"!A1",MID(工作簿索引,FIND("]",工作簿索引)+1,99)),"")</f>
        <v/>
      </c>
    </row>
    <row r="21" spans="10:10">
      <c r="J21" t="str">
        <f ca="1">IFERROR(HYPERLINK(工作簿索引&amp;"!A1",MID(工作簿索引,FIND("]",工作簿索引)+1,99)),"")</f>
        <v/>
      </c>
    </row>
    <row r="22" spans="10:10">
      <c r="J22" t="str">
        <f ca="1">IFERROR(HYPERLINK(工作簿索引&amp;"!A1",MID(工作簿索引,FIND("]",工作簿索引)+1,99)),"")</f>
        <v/>
      </c>
    </row>
    <row r="25" spans="1:2">
      <c r="A25" s="92" t="s">
        <v>0</v>
      </c>
      <c r="B25" s="93"/>
    </row>
  </sheetData>
  <mergeCells count="1">
    <mergeCell ref="A25:B25"/>
  </mergeCells>
  <conditionalFormatting sqref="A2:A4">
    <cfRule type="cellIs" dxfId="0" priority="33" operator="equal">
      <formula>1</formula>
    </cfRule>
    <cfRule type="cellIs" dxfId="1" priority="34" operator="equal">
      <formula>0</formula>
    </cfRule>
    <cfRule type="cellIs" dxfId="2" priority="18" operator="equal">
      <formula>16</formula>
    </cfRule>
    <cfRule type="cellIs" dxfId="3" priority="19" operator="equal">
      <formula>15</formula>
    </cfRule>
    <cfRule type="cellIs" dxfId="4" priority="20" operator="equal">
      <formula>14</formula>
    </cfRule>
    <cfRule type="cellIs" dxfId="0" priority="21" operator="equal">
      <formula>13</formula>
    </cfRule>
    <cfRule type="cellIs" dxfId="5" priority="22" operator="equal">
      <formula>12</formula>
    </cfRule>
    <cfRule type="cellIs" dxfId="6" priority="23" operator="equal">
      <formula>11</formula>
    </cfRule>
    <cfRule type="cellIs" dxfId="7" priority="24" operator="equal">
      <formula>10</formula>
    </cfRule>
    <cfRule type="cellIs" dxfId="8" priority="25" operator="equal">
      <formula>9</formula>
    </cfRule>
    <cfRule type="cellIs" dxfId="9" priority="26" operator="equal">
      <formula>8</formula>
    </cfRule>
    <cfRule type="cellIs" dxfId="10" priority="27" operator="equal">
      <formula>7</formula>
    </cfRule>
    <cfRule type="cellIs" dxfId="11" priority="28" operator="equal">
      <formula>6</formula>
    </cfRule>
    <cfRule type="cellIs" dxfId="12" priority="29" operator="equal">
      <formula>5</formula>
    </cfRule>
    <cfRule type="cellIs" dxfId="13" priority="30" operator="equal">
      <formula>4</formula>
    </cfRule>
    <cfRule type="cellIs" dxfId="14" priority="31" operator="equal">
      <formula>3</formula>
    </cfRule>
    <cfRule type="cellIs" dxfId="15" priority="32" operator="equal">
      <formula>2</formula>
    </cfRule>
  </conditionalFormatting>
  <conditionalFormatting sqref="A7:A12">
    <cfRule type="cellIs" dxfId="13" priority="16" operator="equal">
      <formula>1</formula>
    </cfRule>
    <cfRule type="cellIs" dxfId="1" priority="17" operator="equal">
      <formula>0</formula>
    </cfRule>
    <cfRule type="cellIs" dxfId="16" priority="12" operator="equal">
      <formula>5</formula>
    </cfRule>
    <cfRule type="cellIs" dxfId="11" priority="13" operator="equal">
      <formula>4</formula>
    </cfRule>
    <cfRule type="cellIs" dxfId="17" priority="14" operator="equal">
      <formula>3</formula>
    </cfRule>
    <cfRule type="cellIs" dxfId="18" priority="15" operator="equal">
      <formula>2</formula>
    </cfRule>
  </conditionalFormatting>
  <pageMargins left="0.699305555555556" right="0.699305555555556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499984740745262"/>
  </sheetPr>
  <dimension ref="A1:P13"/>
  <sheetViews>
    <sheetView zoomScale="130" zoomScaleNormal="130" workbookViewId="0">
      <pane xSplit="3" ySplit="1" topLeftCell="D2" activePane="bottomRight" state="frozen"/>
      <selection/>
      <selection pane="topRight"/>
      <selection pane="bottomLeft"/>
      <selection pane="bottomRight" activeCell="H14" sqref="H14"/>
    </sheetView>
  </sheetViews>
  <sheetFormatPr defaultColWidth="9" defaultRowHeight="13.5"/>
  <cols>
    <col min="1" max="1" width="4.375" style="74" customWidth="1"/>
    <col min="2" max="2" width="13.25" style="75" customWidth="1"/>
    <col min="3" max="3" width="2.875" style="16" customWidth="1"/>
    <col min="4" max="4" width="5.75" style="76" customWidth="1"/>
    <col min="5" max="5" width="6.375" style="76" customWidth="1"/>
    <col min="6" max="6" width="7.375" style="76" customWidth="1"/>
    <col min="7" max="7" width="4.625" style="76" customWidth="1"/>
    <col min="8" max="13" width="7.375" style="77" customWidth="1"/>
    <col min="14" max="15" width="8.625" style="77" customWidth="1"/>
    <col min="16" max="16" width="40.375" style="78" customWidth="1"/>
    <col min="17" max="17" width="9" style="79"/>
    <col min="18" max="18" width="9" style="79" customWidth="1"/>
    <col min="19" max="19" width="11" customWidth="1"/>
    <col min="20" max="16384" width="9" style="79"/>
  </cols>
  <sheetData>
    <row r="1" ht="40.5" spans="1:16">
      <c r="A1" s="80" t="s">
        <v>34</v>
      </c>
      <c r="B1" s="80" t="s">
        <v>35</v>
      </c>
      <c r="C1" s="81" t="s">
        <v>36</v>
      </c>
      <c r="D1" s="81" t="s">
        <v>37</v>
      </c>
      <c r="E1" s="81" t="s">
        <v>38</v>
      </c>
      <c r="F1" s="81" t="s">
        <v>39</v>
      </c>
      <c r="G1" s="81" t="s">
        <v>40</v>
      </c>
      <c r="H1" s="82" t="s">
        <v>41</v>
      </c>
      <c r="I1" s="82" t="s">
        <v>42</v>
      </c>
      <c r="J1" s="82" t="s">
        <v>43</v>
      </c>
      <c r="K1" s="82" t="s">
        <v>44</v>
      </c>
      <c r="L1" s="82" t="s">
        <v>45</v>
      </c>
      <c r="M1" s="82" t="s">
        <v>46</v>
      </c>
      <c r="N1" s="82" t="s">
        <v>47</v>
      </c>
      <c r="O1" s="82" t="s">
        <v>48</v>
      </c>
      <c r="P1" s="81" t="s">
        <v>49</v>
      </c>
    </row>
    <row r="2" spans="1:16">
      <c r="A2" s="11">
        <v>0</v>
      </c>
      <c r="B2" s="68" t="s">
        <v>50</v>
      </c>
      <c r="C2" s="68">
        <v>0</v>
      </c>
      <c r="D2" s="22">
        <v>100</v>
      </c>
      <c r="E2" s="42">
        <v>1</v>
      </c>
      <c r="F2" s="42">
        <v>100</v>
      </c>
      <c r="G2" s="83">
        <v>100</v>
      </c>
      <c r="H2" s="84">
        <v>1000</v>
      </c>
      <c r="I2" s="84">
        <v>1001</v>
      </c>
      <c r="J2" s="84">
        <v>1002</v>
      </c>
      <c r="K2" s="84">
        <v>1003</v>
      </c>
      <c r="L2" s="84">
        <v>1004</v>
      </c>
      <c r="M2" s="84">
        <v>1005</v>
      </c>
      <c r="N2" s="84">
        <v>0</v>
      </c>
      <c r="O2" s="84">
        <v>0</v>
      </c>
      <c r="P2" s="85"/>
    </row>
    <row r="3" spans="1:16">
      <c r="A3" s="11">
        <v>1</v>
      </c>
      <c r="B3" s="68" t="s">
        <v>51</v>
      </c>
      <c r="C3" s="68">
        <v>0</v>
      </c>
      <c r="D3" s="22">
        <v>100</v>
      </c>
      <c r="E3" s="42">
        <v>1</v>
      </c>
      <c r="F3" s="42">
        <v>100</v>
      </c>
      <c r="G3" s="83">
        <v>100</v>
      </c>
      <c r="H3" s="84">
        <v>1000</v>
      </c>
      <c r="I3" s="84">
        <v>1001</v>
      </c>
      <c r="J3" s="84">
        <v>1002</v>
      </c>
      <c r="K3" s="84">
        <v>1003</v>
      </c>
      <c r="L3" s="84">
        <v>1004</v>
      </c>
      <c r="M3" s="84">
        <v>1005</v>
      </c>
      <c r="N3" s="84">
        <v>0</v>
      </c>
      <c r="O3" s="84">
        <v>0</v>
      </c>
      <c r="P3" s="85"/>
    </row>
    <row r="4" spans="1:16">
      <c r="A4" s="11">
        <v>2</v>
      </c>
      <c r="B4" s="68" t="s">
        <v>52</v>
      </c>
      <c r="C4" s="68">
        <v>1</v>
      </c>
      <c r="D4" s="22">
        <v>110</v>
      </c>
      <c r="E4" s="42">
        <v>1</v>
      </c>
      <c r="F4" s="42">
        <v>100</v>
      </c>
      <c r="G4" s="83">
        <v>100</v>
      </c>
      <c r="H4" s="84">
        <v>1000</v>
      </c>
      <c r="I4" s="84">
        <v>1001</v>
      </c>
      <c r="J4" s="84">
        <v>1002</v>
      </c>
      <c r="K4" s="84">
        <v>1003</v>
      </c>
      <c r="L4" s="84">
        <v>1004</v>
      </c>
      <c r="M4" s="84">
        <v>1005</v>
      </c>
      <c r="N4" s="84">
        <v>100</v>
      </c>
      <c r="O4" s="84">
        <v>0</v>
      </c>
      <c r="P4" s="85"/>
    </row>
    <row r="5" spans="1:16">
      <c r="A5" s="11">
        <v>3</v>
      </c>
      <c r="B5" s="68" t="s">
        <v>53</v>
      </c>
      <c r="C5" s="68">
        <v>2</v>
      </c>
      <c r="D5" s="22">
        <v>120</v>
      </c>
      <c r="E5" s="42">
        <v>1</v>
      </c>
      <c r="F5" s="42">
        <v>100</v>
      </c>
      <c r="G5" s="83">
        <v>100</v>
      </c>
      <c r="H5" s="84">
        <v>1000</v>
      </c>
      <c r="I5" s="84">
        <v>1001</v>
      </c>
      <c r="J5" s="84">
        <v>1002</v>
      </c>
      <c r="K5" s="84">
        <v>1003</v>
      </c>
      <c r="L5" s="84">
        <v>1004</v>
      </c>
      <c r="M5" s="84">
        <v>1005</v>
      </c>
      <c r="N5" s="84">
        <v>1000</v>
      </c>
      <c r="O5" s="84">
        <v>0</v>
      </c>
      <c r="P5" s="85"/>
    </row>
    <row r="6" spans="1:16">
      <c r="A6" s="11">
        <v>4</v>
      </c>
      <c r="B6" s="68" t="s">
        <v>54</v>
      </c>
      <c r="C6" s="68">
        <v>3</v>
      </c>
      <c r="D6" s="22">
        <v>130</v>
      </c>
      <c r="E6" s="42">
        <v>1</v>
      </c>
      <c r="F6" s="42">
        <v>100</v>
      </c>
      <c r="G6" s="83">
        <v>100</v>
      </c>
      <c r="H6" s="84">
        <v>1000</v>
      </c>
      <c r="I6" s="84">
        <v>1001</v>
      </c>
      <c r="J6" s="84">
        <v>1002</v>
      </c>
      <c r="K6" s="84">
        <v>1003</v>
      </c>
      <c r="L6" s="84">
        <v>1004</v>
      </c>
      <c r="M6" s="84">
        <v>1005</v>
      </c>
      <c r="N6" s="84">
        <v>10000</v>
      </c>
      <c r="O6" s="84">
        <v>0</v>
      </c>
      <c r="P6" s="85"/>
    </row>
    <row r="7" spans="1:16">
      <c r="A7" s="11">
        <v>5</v>
      </c>
      <c r="B7" s="68" t="s">
        <v>55</v>
      </c>
      <c r="C7" s="68">
        <v>4</v>
      </c>
      <c r="D7" s="22">
        <v>140</v>
      </c>
      <c r="E7" s="42">
        <v>1</v>
      </c>
      <c r="F7" s="42">
        <v>100</v>
      </c>
      <c r="G7" s="83">
        <v>100</v>
      </c>
      <c r="H7" s="84">
        <v>1000</v>
      </c>
      <c r="I7" s="84">
        <v>1001</v>
      </c>
      <c r="J7" s="84">
        <v>1002</v>
      </c>
      <c r="K7" s="84">
        <v>1003</v>
      </c>
      <c r="L7" s="84">
        <v>1004</v>
      </c>
      <c r="M7" s="84">
        <v>1005</v>
      </c>
      <c r="N7" s="84">
        <v>100000</v>
      </c>
      <c r="O7" s="84">
        <v>0</v>
      </c>
      <c r="P7" s="85"/>
    </row>
    <row r="8" spans="1:16">
      <c r="A8" s="11">
        <v>6</v>
      </c>
      <c r="B8" s="68" t="s">
        <v>56</v>
      </c>
      <c r="C8" s="68">
        <v>5</v>
      </c>
      <c r="D8" s="22">
        <v>150</v>
      </c>
      <c r="E8" s="42">
        <v>1</v>
      </c>
      <c r="F8" s="42">
        <v>100</v>
      </c>
      <c r="G8" s="83">
        <v>100</v>
      </c>
      <c r="H8" s="84">
        <v>1000</v>
      </c>
      <c r="I8" s="84">
        <v>1001</v>
      </c>
      <c r="J8" s="84">
        <v>1002</v>
      </c>
      <c r="K8" s="84">
        <v>1003</v>
      </c>
      <c r="L8" s="84">
        <v>1004</v>
      </c>
      <c r="M8" s="84">
        <v>1005</v>
      </c>
      <c r="N8" s="84">
        <v>1000000</v>
      </c>
      <c r="O8" s="84">
        <v>0</v>
      </c>
      <c r="P8" s="85"/>
    </row>
    <row r="9" spans="1:16">
      <c r="A9" s="11">
        <v>100</v>
      </c>
      <c r="B9" s="68" t="s">
        <v>57</v>
      </c>
      <c r="C9" s="68">
        <v>0</v>
      </c>
      <c r="D9" s="22">
        <v>100</v>
      </c>
      <c r="E9" s="42">
        <v>1</v>
      </c>
      <c r="F9" s="42">
        <v>100</v>
      </c>
      <c r="G9" s="83">
        <v>100</v>
      </c>
      <c r="H9" s="84">
        <v>1000</v>
      </c>
      <c r="I9" s="84">
        <v>1001</v>
      </c>
      <c r="J9" s="84">
        <v>1002</v>
      </c>
      <c r="K9" s="84">
        <v>1003</v>
      </c>
      <c r="L9" s="84">
        <v>1004</v>
      </c>
      <c r="M9" s="84">
        <v>1005</v>
      </c>
      <c r="N9" s="84">
        <v>0</v>
      </c>
      <c r="O9" s="84">
        <v>0</v>
      </c>
      <c r="P9" s="85" t="s">
        <v>58</v>
      </c>
    </row>
    <row r="10" spans="1:16">
      <c r="A10" s="11">
        <v>101</v>
      </c>
      <c r="B10" s="68" t="s">
        <v>59</v>
      </c>
      <c r="C10" s="68">
        <v>1</v>
      </c>
      <c r="D10" s="22">
        <v>120</v>
      </c>
      <c r="E10" s="42">
        <v>1</v>
      </c>
      <c r="F10" s="42">
        <v>100</v>
      </c>
      <c r="G10" s="83">
        <v>90</v>
      </c>
      <c r="H10" s="84">
        <v>1000</v>
      </c>
      <c r="I10" s="84">
        <v>1001</v>
      </c>
      <c r="J10" s="84">
        <v>1002</v>
      </c>
      <c r="K10" s="84">
        <v>1003</v>
      </c>
      <c r="L10" s="84">
        <v>1004</v>
      </c>
      <c r="M10" s="84">
        <v>1005</v>
      </c>
      <c r="N10" s="84">
        <v>100</v>
      </c>
      <c r="O10" s="84">
        <v>0</v>
      </c>
      <c r="P10" s="85"/>
    </row>
    <row r="11" spans="1:16">
      <c r="A11" s="11">
        <v>102</v>
      </c>
      <c r="B11" s="68" t="s">
        <v>60</v>
      </c>
      <c r="C11" s="68">
        <v>1</v>
      </c>
      <c r="D11" s="22">
        <v>85</v>
      </c>
      <c r="E11" s="42">
        <v>1.3</v>
      </c>
      <c r="F11" s="42">
        <v>100</v>
      </c>
      <c r="G11" s="83">
        <v>95</v>
      </c>
      <c r="H11" s="84">
        <v>1000</v>
      </c>
      <c r="I11" s="84">
        <v>1001</v>
      </c>
      <c r="J11" s="84">
        <v>1002</v>
      </c>
      <c r="K11" s="84">
        <v>1003</v>
      </c>
      <c r="L11" s="84">
        <v>1004</v>
      </c>
      <c r="M11" s="84">
        <v>1005</v>
      </c>
      <c r="N11" s="84">
        <v>1000</v>
      </c>
      <c r="O11" s="84">
        <v>0</v>
      </c>
      <c r="P11" s="85"/>
    </row>
    <row r="12" spans="1:16">
      <c r="A12" s="11">
        <v>103</v>
      </c>
      <c r="B12" s="68" t="s">
        <v>61</v>
      </c>
      <c r="C12" s="68">
        <v>2</v>
      </c>
      <c r="D12" s="22">
        <v>100</v>
      </c>
      <c r="E12" s="42">
        <v>1</v>
      </c>
      <c r="F12" s="42">
        <v>100</v>
      </c>
      <c r="G12" s="83">
        <v>130</v>
      </c>
      <c r="H12" s="84">
        <v>1000</v>
      </c>
      <c r="I12" s="84">
        <v>1001</v>
      </c>
      <c r="J12" s="84">
        <v>1002</v>
      </c>
      <c r="K12" s="84">
        <v>1003</v>
      </c>
      <c r="L12" s="84">
        <v>1004</v>
      </c>
      <c r="M12" s="84">
        <v>1005</v>
      </c>
      <c r="N12" s="84">
        <v>10000</v>
      </c>
      <c r="O12" s="84">
        <v>0</v>
      </c>
      <c r="P12" s="85"/>
    </row>
    <row r="13" spans="1:16">
      <c r="A13" s="11">
        <v>104</v>
      </c>
      <c r="B13" s="68" t="s">
        <v>62</v>
      </c>
      <c r="C13" s="68">
        <v>3</v>
      </c>
      <c r="D13" s="22">
        <v>150</v>
      </c>
      <c r="E13" s="42">
        <v>1</v>
      </c>
      <c r="F13" s="42">
        <v>100</v>
      </c>
      <c r="G13" s="83">
        <v>100</v>
      </c>
      <c r="H13" s="84">
        <v>1000</v>
      </c>
      <c r="I13" s="84">
        <v>1001</v>
      </c>
      <c r="J13" s="84">
        <v>1002</v>
      </c>
      <c r="K13" s="84">
        <v>1003</v>
      </c>
      <c r="L13" s="84">
        <v>1004</v>
      </c>
      <c r="M13" s="84">
        <v>1005</v>
      </c>
      <c r="N13" s="84">
        <v>100000</v>
      </c>
      <c r="O13" s="84">
        <v>0</v>
      </c>
      <c r="P13" s="85"/>
    </row>
  </sheetData>
  <sortState ref="A2:AE291">
    <sortCondition ref="A2:A291"/>
  </sortState>
  <conditionalFormatting sqref="A2:A13">
    <cfRule type="duplicateValues" dxfId="19" priority="1190"/>
  </conditionalFormatting>
  <conditionalFormatting sqref="B2:B13">
    <cfRule type="expression" dxfId="20" priority="7">
      <formula>C2=5</formula>
    </cfRule>
    <cfRule type="expression" dxfId="21" priority="8">
      <formula>C2=4</formula>
    </cfRule>
    <cfRule type="expression" dxfId="22" priority="9">
      <formula>C2=3</formula>
    </cfRule>
    <cfRule type="expression" dxfId="23" priority="10">
      <formula>C2=2</formula>
    </cfRule>
    <cfRule type="expression" dxfId="24" priority="11">
      <formula>C2=1</formula>
    </cfRule>
    <cfRule type="expression" dxfId="25" priority="12">
      <formula>C2=0</formula>
    </cfRule>
  </conditionalFormatting>
  <conditionalFormatting sqref="C2:C13">
    <cfRule type="cellIs" dxfId="1" priority="6" operator="equal">
      <formula>0</formula>
    </cfRule>
    <cfRule type="cellIs" dxfId="13" priority="5" operator="equal">
      <formula>1</formula>
    </cfRule>
    <cfRule type="cellIs" dxfId="18" priority="4" operator="equal">
      <formula>2</formula>
    </cfRule>
    <cfRule type="cellIs" dxfId="17" priority="3" operator="equal">
      <formula>3</formula>
    </cfRule>
    <cfRule type="cellIs" dxfId="11" priority="2" operator="equal">
      <formula>4</formula>
    </cfRule>
    <cfRule type="cellIs" dxfId="16" priority="1" operator="equal">
      <formula>5</formula>
    </cfRule>
  </conditionalFormatting>
  <dataValidations count="2">
    <dataValidation type="list" allowBlank="1" showInputMessage="1" showErrorMessage="1" sqref="C2 C3:C7 C8:C13">
      <formula1>"0,1,2,3,4,5"</formula1>
    </dataValidation>
    <dataValidation type="list" allowBlank="1" showInputMessage="1" showErrorMessage="1" sqref="H2:M13">
      <formula1>DemonSkill!$A:$A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H201"/>
  <sheetViews>
    <sheetView zoomScale="130" zoomScaleNormal="130" workbookViewId="0">
      <selection activeCell="F2" sqref="F2"/>
    </sheetView>
  </sheetViews>
  <sheetFormatPr defaultColWidth="9" defaultRowHeight="13.5" outlineLevelCol="7"/>
  <cols>
    <col min="1" max="1" width="4.375" style="54" customWidth="1"/>
    <col min="2" max="2" width="8.5" customWidth="1"/>
    <col min="3" max="3" width="8.625" customWidth="1"/>
    <col min="4" max="4" width="11.875" customWidth="1"/>
    <col min="5" max="5" width="8.625" customWidth="1"/>
    <col min="6" max="6" width="13" customWidth="1"/>
    <col min="7" max="7" width="5.125" customWidth="1"/>
    <col min="8" max="8" width="13" customWidth="1"/>
  </cols>
  <sheetData>
    <row r="1" ht="35" customHeight="1" spans="1:8">
      <c r="A1" s="55" t="s">
        <v>63</v>
      </c>
      <c r="B1" s="55" t="s">
        <v>64</v>
      </c>
      <c r="C1" s="55" t="s">
        <v>65</v>
      </c>
      <c r="D1" s="55" t="s">
        <v>66</v>
      </c>
      <c r="E1" s="55" t="s">
        <v>67</v>
      </c>
      <c r="F1" s="55" t="s">
        <v>68</v>
      </c>
      <c r="G1" s="55" t="s">
        <v>69</v>
      </c>
      <c r="H1" s="55" t="s">
        <v>70</v>
      </c>
    </row>
    <row r="2" spans="1:8">
      <c r="A2" s="56">
        <v>1</v>
      </c>
      <c r="B2" s="22">
        <v>0</v>
      </c>
      <c r="C2" s="72">
        <v>0.01</v>
      </c>
      <c r="D2" s="22">
        <v>0</v>
      </c>
      <c r="E2" s="72">
        <v>0.1</v>
      </c>
      <c r="F2" s="22">
        <v>0</v>
      </c>
      <c r="G2" s="73">
        <v>1</v>
      </c>
      <c r="H2" s="22">
        <v>0</v>
      </c>
    </row>
    <row r="3" spans="1:8">
      <c r="A3" s="56">
        <v>2</v>
      </c>
      <c r="B3" s="22">
        <v>1000</v>
      </c>
      <c r="C3" s="72">
        <v>0.02</v>
      </c>
      <c r="D3" s="22">
        <v>1000</v>
      </c>
      <c r="E3" s="72">
        <v>0.2</v>
      </c>
      <c r="F3" s="22">
        <v>1000</v>
      </c>
      <c r="G3" s="73">
        <v>2</v>
      </c>
      <c r="H3" s="22">
        <v>1000</v>
      </c>
    </row>
    <row r="4" spans="1:8">
      <c r="A4" s="56">
        <v>3</v>
      </c>
      <c r="B4" s="22">
        <v>2000</v>
      </c>
      <c r="C4" s="72">
        <v>0.03</v>
      </c>
      <c r="D4" s="22">
        <v>2000</v>
      </c>
      <c r="E4" s="72">
        <v>0.3</v>
      </c>
      <c r="F4" s="22">
        <v>2000</v>
      </c>
      <c r="G4" s="73">
        <v>3</v>
      </c>
      <c r="H4" s="22">
        <v>2000</v>
      </c>
    </row>
    <row r="5" spans="1:8">
      <c r="A5" s="56">
        <v>4</v>
      </c>
      <c r="B5" s="22">
        <v>3000</v>
      </c>
      <c r="C5" s="72">
        <v>0.04</v>
      </c>
      <c r="D5" s="22">
        <v>3000</v>
      </c>
      <c r="E5" s="72">
        <v>0.4</v>
      </c>
      <c r="F5" s="22">
        <v>3000</v>
      </c>
      <c r="G5" s="73">
        <v>4</v>
      </c>
      <c r="H5" s="22">
        <v>3000</v>
      </c>
    </row>
    <row r="6" spans="1:8">
      <c r="A6" s="56">
        <v>5</v>
      </c>
      <c r="B6" s="22">
        <v>4000</v>
      </c>
      <c r="C6" s="72">
        <v>0.05</v>
      </c>
      <c r="D6" s="22">
        <v>4000</v>
      </c>
      <c r="E6" s="72">
        <v>0.5</v>
      </c>
      <c r="F6" s="22">
        <v>4000</v>
      </c>
      <c r="G6" s="73">
        <v>5</v>
      </c>
      <c r="H6" s="22">
        <v>4000</v>
      </c>
    </row>
    <row r="7" spans="1:8">
      <c r="A7" s="56">
        <v>6</v>
      </c>
      <c r="B7" s="22">
        <v>5000</v>
      </c>
      <c r="C7" s="72">
        <v>0.06</v>
      </c>
      <c r="D7" s="22">
        <v>5000</v>
      </c>
      <c r="E7" s="72">
        <v>0.6</v>
      </c>
      <c r="F7" s="22">
        <v>5000</v>
      </c>
      <c r="G7" s="73">
        <v>6</v>
      </c>
      <c r="H7" s="22">
        <v>5000</v>
      </c>
    </row>
    <row r="8" spans="1:8">
      <c r="A8" s="56">
        <v>7</v>
      </c>
      <c r="B8" s="22">
        <v>6000</v>
      </c>
      <c r="C8" s="72">
        <v>0.07</v>
      </c>
      <c r="D8" s="22">
        <v>6000</v>
      </c>
      <c r="E8" s="72">
        <v>0.7</v>
      </c>
      <c r="F8" s="22">
        <v>6000</v>
      </c>
      <c r="G8" s="73">
        <v>7</v>
      </c>
      <c r="H8" s="22">
        <v>6000</v>
      </c>
    </row>
    <row r="9" spans="1:8">
      <c r="A9" s="56">
        <v>8</v>
      </c>
      <c r="B9" s="22">
        <v>7000</v>
      </c>
      <c r="C9" s="72">
        <v>0.08</v>
      </c>
      <c r="D9" s="22">
        <v>7000</v>
      </c>
      <c r="E9" s="72">
        <v>0.8</v>
      </c>
      <c r="F9" s="22">
        <v>7000</v>
      </c>
      <c r="G9" s="73">
        <v>8</v>
      </c>
      <c r="H9" s="22">
        <v>7000</v>
      </c>
    </row>
    <row r="10" spans="1:8">
      <c r="A10" s="56">
        <v>9</v>
      </c>
      <c r="B10" s="22">
        <v>8000</v>
      </c>
      <c r="C10" s="72">
        <v>0.09</v>
      </c>
      <c r="D10" s="22">
        <v>8000</v>
      </c>
      <c r="E10" s="72">
        <v>0.9</v>
      </c>
      <c r="F10" s="22">
        <v>8000</v>
      </c>
      <c r="G10" s="73">
        <v>9</v>
      </c>
      <c r="H10" s="22">
        <v>8000</v>
      </c>
    </row>
    <row r="11" spans="1:8">
      <c r="A11" s="56">
        <v>10</v>
      </c>
      <c r="B11" s="22">
        <v>9000</v>
      </c>
      <c r="C11" s="72">
        <v>0.1</v>
      </c>
      <c r="D11" s="22">
        <v>9000</v>
      </c>
      <c r="E11" s="72">
        <v>1</v>
      </c>
      <c r="F11" s="22">
        <v>9000</v>
      </c>
      <c r="G11" s="73">
        <v>10</v>
      </c>
      <c r="H11" s="22">
        <v>9000</v>
      </c>
    </row>
    <row r="12" spans="1:8">
      <c r="A12" s="56">
        <v>11</v>
      </c>
      <c r="B12" s="22">
        <v>10000</v>
      </c>
      <c r="C12" s="72">
        <v>0.11</v>
      </c>
      <c r="D12" s="22">
        <v>10000</v>
      </c>
      <c r="E12" s="72">
        <v>1.1</v>
      </c>
      <c r="F12" s="22">
        <v>10000</v>
      </c>
      <c r="G12" s="73">
        <v>11</v>
      </c>
      <c r="H12" s="22">
        <v>10000</v>
      </c>
    </row>
    <row r="13" spans="1:8">
      <c r="A13" s="56">
        <v>12</v>
      </c>
      <c r="B13" s="22">
        <v>11000</v>
      </c>
      <c r="C13" s="72">
        <v>0.12</v>
      </c>
      <c r="D13" s="22">
        <v>11000</v>
      </c>
      <c r="E13" s="72">
        <v>1.2</v>
      </c>
      <c r="F13" s="22">
        <v>11000</v>
      </c>
      <c r="G13" s="73">
        <v>12</v>
      </c>
      <c r="H13" s="22">
        <v>11000</v>
      </c>
    </row>
    <row r="14" spans="1:8">
      <c r="A14" s="56">
        <v>13</v>
      </c>
      <c r="B14" s="22">
        <v>12000</v>
      </c>
      <c r="C14" s="72">
        <v>0.13</v>
      </c>
      <c r="D14" s="22">
        <v>12000</v>
      </c>
      <c r="E14" s="72">
        <v>1.3</v>
      </c>
      <c r="F14" s="22">
        <v>12000</v>
      </c>
      <c r="G14" s="73">
        <v>13</v>
      </c>
      <c r="H14" s="22">
        <v>12000</v>
      </c>
    </row>
    <row r="15" spans="1:8">
      <c r="A15" s="56">
        <v>14</v>
      </c>
      <c r="B15" s="22">
        <v>13000</v>
      </c>
      <c r="C15" s="72">
        <v>0.14</v>
      </c>
      <c r="D15" s="22">
        <v>13000</v>
      </c>
      <c r="E15" s="72">
        <v>1.4</v>
      </c>
      <c r="F15" s="22">
        <v>13000</v>
      </c>
      <c r="G15" s="73">
        <v>14</v>
      </c>
      <c r="H15" s="22">
        <v>13000</v>
      </c>
    </row>
    <row r="16" spans="1:8">
      <c r="A16" s="56">
        <v>15</v>
      </c>
      <c r="B16" s="22">
        <v>14000</v>
      </c>
      <c r="C16" s="72">
        <v>0.15</v>
      </c>
      <c r="D16" s="22">
        <v>14000</v>
      </c>
      <c r="E16" s="72">
        <v>1.5</v>
      </c>
      <c r="F16" s="22">
        <v>14000</v>
      </c>
      <c r="G16" s="73">
        <v>15</v>
      </c>
      <c r="H16" s="22">
        <v>14000</v>
      </c>
    </row>
    <row r="17" spans="1:8">
      <c r="A17" s="56">
        <v>16</v>
      </c>
      <c r="B17" s="22">
        <v>15000</v>
      </c>
      <c r="C17" s="72">
        <v>0.16</v>
      </c>
      <c r="D17" s="22">
        <v>15000</v>
      </c>
      <c r="E17" s="72">
        <v>1.6</v>
      </c>
      <c r="F17" s="22">
        <v>15000</v>
      </c>
      <c r="G17" s="73">
        <v>16</v>
      </c>
      <c r="H17" s="22">
        <v>15000</v>
      </c>
    </row>
    <row r="18" spans="1:8">
      <c r="A18" s="56">
        <v>17</v>
      </c>
      <c r="B18" s="22">
        <v>16000</v>
      </c>
      <c r="C18" s="72">
        <v>0.17</v>
      </c>
      <c r="D18" s="22">
        <v>16000</v>
      </c>
      <c r="E18" s="72">
        <v>1.7</v>
      </c>
      <c r="F18" s="22">
        <v>16000</v>
      </c>
      <c r="G18" s="73">
        <v>17</v>
      </c>
      <c r="H18" s="22">
        <v>16000</v>
      </c>
    </row>
    <row r="19" spans="1:8">
      <c r="A19" s="56">
        <v>18</v>
      </c>
      <c r="B19" s="22">
        <v>17000</v>
      </c>
      <c r="C19" s="72">
        <v>0.18</v>
      </c>
      <c r="D19" s="22">
        <v>17000</v>
      </c>
      <c r="E19" s="72">
        <v>1.8</v>
      </c>
      <c r="F19" s="22">
        <v>17000</v>
      </c>
      <c r="G19" s="73">
        <v>18</v>
      </c>
      <c r="H19" s="22">
        <v>17000</v>
      </c>
    </row>
    <row r="20" spans="1:8">
      <c r="A20" s="56">
        <v>19</v>
      </c>
      <c r="B20" s="22">
        <v>18000</v>
      </c>
      <c r="C20" s="72">
        <v>0.19</v>
      </c>
      <c r="D20" s="22">
        <v>18000</v>
      </c>
      <c r="E20" s="72">
        <v>1.9</v>
      </c>
      <c r="F20" s="22">
        <v>18000</v>
      </c>
      <c r="G20" s="73">
        <v>19</v>
      </c>
      <c r="H20" s="22">
        <v>18000</v>
      </c>
    </row>
    <row r="21" spans="1:8">
      <c r="A21" s="56">
        <v>20</v>
      </c>
      <c r="B21" s="22">
        <v>19000</v>
      </c>
      <c r="C21" s="72">
        <v>0.2</v>
      </c>
      <c r="D21" s="22">
        <v>19000</v>
      </c>
      <c r="E21" s="72">
        <v>2</v>
      </c>
      <c r="F21" s="22">
        <v>19000</v>
      </c>
      <c r="G21" s="73">
        <v>20</v>
      </c>
      <c r="H21" s="22">
        <v>19000</v>
      </c>
    </row>
    <row r="22" spans="1:8">
      <c r="A22" s="56">
        <v>21</v>
      </c>
      <c r="B22" s="22">
        <v>20000</v>
      </c>
      <c r="C22" s="72">
        <v>0.21</v>
      </c>
      <c r="D22" s="22">
        <v>20000</v>
      </c>
      <c r="E22" s="72">
        <v>2.1</v>
      </c>
      <c r="F22" s="22">
        <v>20000</v>
      </c>
      <c r="G22" s="73">
        <v>21</v>
      </c>
      <c r="H22" s="22">
        <v>20000</v>
      </c>
    </row>
    <row r="23" spans="1:8">
      <c r="A23" s="56">
        <v>22</v>
      </c>
      <c r="B23" s="22">
        <v>21000</v>
      </c>
      <c r="C23" s="72">
        <v>0.22</v>
      </c>
      <c r="D23" s="22">
        <v>21000</v>
      </c>
      <c r="E23" s="72">
        <v>2.2</v>
      </c>
      <c r="F23" s="22">
        <v>21000</v>
      </c>
      <c r="G23" s="73">
        <v>22</v>
      </c>
      <c r="H23" s="22">
        <v>21000</v>
      </c>
    </row>
    <row r="24" spans="1:8">
      <c r="A24" s="56">
        <v>23</v>
      </c>
      <c r="B24" s="22">
        <v>22000</v>
      </c>
      <c r="C24" s="72">
        <v>0.23</v>
      </c>
      <c r="D24" s="22">
        <v>22000</v>
      </c>
      <c r="E24" s="72">
        <v>2.3</v>
      </c>
      <c r="F24" s="22">
        <v>22000</v>
      </c>
      <c r="G24" s="73">
        <v>23</v>
      </c>
      <c r="H24" s="22">
        <v>22000</v>
      </c>
    </row>
    <row r="25" spans="1:8">
      <c r="A25" s="56">
        <v>24</v>
      </c>
      <c r="B25" s="22">
        <v>23000</v>
      </c>
      <c r="C25" s="72">
        <v>0.24</v>
      </c>
      <c r="D25" s="22">
        <v>23000</v>
      </c>
      <c r="E25" s="72">
        <v>2.4</v>
      </c>
      <c r="F25" s="22">
        <v>23000</v>
      </c>
      <c r="G25" s="73">
        <v>24</v>
      </c>
      <c r="H25" s="22">
        <v>23000</v>
      </c>
    </row>
    <row r="26" spans="1:8">
      <c r="A26" s="56">
        <v>25</v>
      </c>
      <c r="B26" s="22">
        <v>24000</v>
      </c>
      <c r="C26" s="72">
        <v>0.25</v>
      </c>
      <c r="D26" s="22">
        <v>24000</v>
      </c>
      <c r="E26" s="72">
        <v>2.5</v>
      </c>
      <c r="F26" s="22">
        <v>24000</v>
      </c>
      <c r="G26" s="73">
        <v>25</v>
      </c>
      <c r="H26" s="22">
        <v>24000</v>
      </c>
    </row>
    <row r="27" spans="1:8">
      <c r="A27" s="56">
        <v>26</v>
      </c>
      <c r="B27" s="22">
        <v>25000</v>
      </c>
      <c r="C27" s="72">
        <v>0.26</v>
      </c>
      <c r="D27" s="22">
        <v>25000</v>
      </c>
      <c r="E27" s="72">
        <v>2.6</v>
      </c>
      <c r="F27" s="22">
        <v>25000</v>
      </c>
      <c r="G27" s="73">
        <v>26</v>
      </c>
      <c r="H27" s="22">
        <v>25000</v>
      </c>
    </row>
    <row r="28" spans="1:8">
      <c r="A28" s="56">
        <v>27</v>
      </c>
      <c r="B28" s="22">
        <v>26000</v>
      </c>
      <c r="C28" s="72">
        <v>0.27</v>
      </c>
      <c r="D28" s="22">
        <v>26000</v>
      </c>
      <c r="E28" s="72">
        <v>2.7</v>
      </c>
      <c r="F28" s="22">
        <v>26000</v>
      </c>
      <c r="G28" s="73">
        <v>27</v>
      </c>
      <c r="H28" s="22">
        <v>26000</v>
      </c>
    </row>
    <row r="29" spans="1:8">
      <c r="A29" s="56">
        <v>28</v>
      </c>
      <c r="B29" s="22">
        <v>27000</v>
      </c>
      <c r="C29" s="72">
        <v>0.28</v>
      </c>
      <c r="D29" s="22">
        <v>27000</v>
      </c>
      <c r="E29" s="72">
        <v>2.8</v>
      </c>
      <c r="F29" s="22">
        <v>27000</v>
      </c>
      <c r="G29" s="73">
        <v>28</v>
      </c>
      <c r="H29" s="22">
        <v>27000</v>
      </c>
    </row>
    <row r="30" spans="1:8">
      <c r="A30" s="56">
        <v>29</v>
      </c>
      <c r="B30" s="22">
        <v>28000</v>
      </c>
      <c r="C30" s="72">
        <v>0.29</v>
      </c>
      <c r="D30" s="22">
        <v>28000</v>
      </c>
      <c r="E30" s="72">
        <v>2.9</v>
      </c>
      <c r="F30" s="22">
        <v>28000</v>
      </c>
      <c r="G30" s="73">
        <v>29</v>
      </c>
      <c r="H30" s="22">
        <v>28000</v>
      </c>
    </row>
    <row r="31" spans="1:8">
      <c r="A31" s="56">
        <v>30</v>
      </c>
      <c r="B31" s="22">
        <v>29000</v>
      </c>
      <c r="C31" s="72">
        <v>0.3</v>
      </c>
      <c r="D31" s="22">
        <v>29000</v>
      </c>
      <c r="E31" s="72">
        <v>3</v>
      </c>
      <c r="F31" s="22">
        <v>29000</v>
      </c>
      <c r="G31" s="73">
        <v>30</v>
      </c>
      <c r="H31" s="22">
        <v>29000</v>
      </c>
    </row>
    <row r="32" spans="1:8">
      <c r="A32" s="56">
        <v>31</v>
      </c>
      <c r="B32" s="22">
        <v>30000</v>
      </c>
      <c r="C32" s="72">
        <v>0.31</v>
      </c>
      <c r="D32" s="22">
        <v>30000</v>
      </c>
      <c r="E32" s="72">
        <v>3.1</v>
      </c>
      <c r="F32" s="22">
        <v>30000</v>
      </c>
      <c r="G32" s="73">
        <v>31</v>
      </c>
      <c r="H32" s="22">
        <v>30000</v>
      </c>
    </row>
    <row r="33" spans="1:8">
      <c r="A33" s="56">
        <v>32</v>
      </c>
      <c r="B33" s="22">
        <v>31000</v>
      </c>
      <c r="C33" s="72">
        <v>0.32</v>
      </c>
      <c r="D33" s="22">
        <v>31000</v>
      </c>
      <c r="E33" s="72">
        <v>3.2</v>
      </c>
      <c r="F33" s="22">
        <v>31000</v>
      </c>
      <c r="G33" s="73">
        <v>32</v>
      </c>
      <c r="H33" s="22">
        <v>31000</v>
      </c>
    </row>
    <row r="34" spans="1:8">
      <c r="A34" s="56">
        <v>33</v>
      </c>
      <c r="B34" s="22">
        <v>32000</v>
      </c>
      <c r="C34" s="72">
        <v>0.33</v>
      </c>
      <c r="D34" s="22">
        <v>32000</v>
      </c>
      <c r="E34" s="72">
        <v>3.3</v>
      </c>
      <c r="F34" s="22">
        <v>32000</v>
      </c>
      <c r="G34" s="73">
        <v>33</v>
      </c>
      <c r="H34" s="22">
        <v>32000</v>
      </c>
    </row>
    <row r="35" spans="1:8">
      <c r="A35" s="56">
        <v>34</v>
      </c>
      <c r="B35" s="22">
        <v>33000</v>
      </c>
      <c r="C35" s="72">
        <v>0.34</v>
      </c>
      <c r="D35" s="22">
        <v>33000</v>
      </c>
      <c r="E35" s="72">
        <v>3.4</v>
      </c>
      <c r="F35" s="22">
        <v>33000</v>
      </c>
      <c r="G35" s="73">
        <v>34</v>
      </c>
      <c r="H35" s="22">
        <v>33000</v>
      </c>
    </row>
    <row r="36" spans="1:8">
      <c r="A36" s="56">
        <v>35</v>
      </c>
      <c r="B36" s="22">
        <v>34000</v>
      </c>
      <c r="C36" s="72">
        <v>0.35</v>
      </c>
      <c r="D36" s="22">
        <v>34000</v>
      </c>
      <c r="E36" s="72">
        <v>3.5</v>
      </c>
      <c r="F36" s="22">
        <v>34000</v>
      </c>
      <c r="G36" s="73">
        <v>35</v>
      </c>
      <c r="H36" s="22">
        <v>34000</v>
      </c>
    </row>
    <row r="37" spans="1:8">
      <c r="A37" s="56">
        <v>36</v>
      </c>
      <c r="B37" s="22">
        <v>35000</v>
      </c>
      <c r="C37" s="72">
        <v>0.36</v>
      </c>
      <c r="D37" s="22">
        <v>35000</v>
      </c>
      <c r="E37" s="72">
        <v>3.6</v>
      </c>
      <c r="F37" s="22">
        <v>35000</v>
      </c>
      <c r="G37" s="73">
        <v>36</v>
      </c>
      <c r="H37" s="22">
        <v>35000</v>
      </c>
    </row>
    <row r="38" spans="1:8">
      <c r="A38" s="56">
        <v>37</v>
      </c>
      <c r="B38" s="22">
        <v>36000</v>
      </c>
      <c r="C38" s="72">
        <v>0.37</v>
      </c>
      <c r="D38" s="22">
        <v>36000</v>
      </c>
      <c r="E38" s="72">
        <v>3.7</v>
      </c>
      <c r="F38" s="22">
        <v>36000</v>
      </c>
      <c r="G38" s="73">
        <v>37</v>
      </c>
      <c r="H38" s="22">
        <v>36000</v>
      </c>
    </row>
    <row r="39" spans="1:8">
      <c r="A39" s="56">
        <v>38</v>
      </c>
      <c r="B39" s="22">
        <v>37000</v>
      </c>
      <c r="C39" s="72">
        <v>0.38</v>
      </c>
      <c r="D39" s="22">
        <v>37000</v>
      </c>
      <c r="E39" s="72">
        <v>3.8</v>
      </c>
      <c r="F39" s="22">
        <v>37000</v>
      </c>
      <c r="G39" s="73">
        <v>38</v>
      </c>
      <c r="H39" s="22">
        <v>37000</v>
      </c>
    </row>
    <row r="40" spans="1:8">
      <c r="A40" s="56">
        <v>39</v>
      </c>
      <c r="B40" s="22">
        <v>38000</v>
      </c>
      <c r="C40" s="72">
        <v>0.39</v>
      </c>
      <c r="D40" s="22">
        <v>38000</v>
      </c>
      <c r="E40" s="72">
        <v>3.9</v>
      </c>
      <c r="F40" s="22">
        <v>38000</v>
      </c>
      <c r="G40" s="73">
        <v>39</v>
      </c>
      <c r="H40" s="22">
        <v>38000</v>
      </c>
    </row>
    <row r="41" spans="1:8">
      <c r="A41" s="56">
        <v>40</v>
      </c>
      <c r="B41" s="22">
        <v>39000</v>
      </c>
      <c r="C41" s="72">
        <v>0.4</v>
      </c>
      <c r="D41" s="22">
        <v>39000</v>
      </c>
      <c r="E41" s="72">
        <v>4</v>
      </c>
      <c r="F41" s="22">
        <v>39000</v>
      </c>
      <c r="G41" s="73">
        <v>40</v>
      </c>
      <c r="H41" s="22">
        <v>39000</v>
      </c>
    </row>
    <row r="42" spans="1:8">
      <c r="A42" s="56">
        <v>41</v>
      </c>
      <c r="B42" s="22">
        <v>40000</v>
      </c>
      <c r="C42" s="72">
        <v>0.41</v>
      </c>
      <c r="D42" s="22">
        <v>40000</v>
      </c>
      <c r="E42" s="72">
        <v>4.1</v>
      </c>
      <c r="F42" s="22">
        <v>40000</v>
      </c>
      <c r="G42" s="73">
        <v>41</v>
      </c>
      <c r="H42" s="22">
        <v>40000</v>
      </c>
    </row>
    <row r="43" spans="1:8">
      <c r="A43" s="56">
        <v>42</v>
      </c>
      <c r="B43" s="22">
        <v>41000</v>
      </c>
      <c r="C43" s="72">
        <v>0.42</v>
      </c>
      <c r="D43" s="22">
        <v>41000</v>
      </c>
      <c r="E43" s="72">
        <v>4.2</v>
      </c>
      <c r="F43" s="22">
        <v>41000</v>
      </c>
      <c r="G43" s="73">
        <v>42</v>
      </c>
      <c r="H43" s="22">
        <v>41000</v>
      </c>
    </row>
    <row r="44" spans="1:8">
      <c r="A44" s="56">
        <v>43</v>
      </c>
      <c r="B44" s="22">
        <v>42000</v>
      </c>
      <c r="C44" s="72">
        <v>0.43</v>
      </c>
      <c r="D44" s="22">
        <v>42000</v>
      </c>
      <c r="E44" s="72">
        <v>4.3</v>
      </c>
      <c r="F44" s="22">
        <v>42000</v>
      </c>
      <c r="G44" s="73">
        <v>43</v>
      </c>
      <c r="H44" s="22">
        <v>42000</v>
      </c>
    </row>
    <row r="45" spans="1:8">
      <c r="A45" s="56">
        <v>44</v>
      </c>
      <c r="B45" s="22">
        <v>43000</v>
      </c>
      <c r="C45" s="72">
        <v>0.44</v>
      </c>
      <c r="D45" s="22">
        <v>43000</v>
      </c>
      <c r="E45" s="72">
        <v>4.4</v>
      </c>
      <c r="F45" s="22">
        <v>43000</v>
      </c>
      <c r="G45" s="73">
        <v>44</v>
      </c>
      <c r="H45" s="22">
        <v>43000</v>
      </c>
    </row>
    <row r="46" spans="1:8">
      <c r="A46" s="56">
        <v>45</v>
      </c>
      <c r="B46" s="22">
        <v>44000</v>
      </c>
      <c r="C46" s="72">
        <v>0.45</v>
      </c>
      <c r="D46" s="22">
        <v>44000</v>
      </c>
      <c r="E46" s="72">
        <v>4.5</v>
      </c>
      <c r="F46" s="22">
        <v>44000</v>
      </c>
      <c r="G46" s="73">
        <v>45</v>
      </c>
      <c r="H46" s="22">
        <v>44000</v>
      </c>
    </row>
    <row r="47" spans="1:8">
      <c r="A47" s="56">
        <v>46</v>
      </c>
      <c r="B47" s="22">
        <v>45000</v>
      </c>
      <c r="C47" s="72">
        <v>0.46</v>
      </c>
      <c r="D47" s="22">
        <v>45000</v>
      </c>
      <c r="E47" s="72">
        <v>4.6</v>
      </c>
      <c r="F47" s="22">
        <v>45000</v>
      </c>
      <c r="G47" s="73">
        <v>46</v>
      </c>
      <c r="H47" s="22">
        <v>45000</v>
      </c>
    </row>
    <row r="48" spans="1:8">
      <c r="A48" s="56">
        <v>47</v>
      </c>
      <c r="B48" s="22">
        <v>46000</v>
      </c>
      <c r="C48" s="72">
        <v>0.47</v>
      </c>
      <c r="D48" s="22">
        <v>46000</v>
      </c>
      <c r="E48" s="72">
        <v>4.7</v>
      </c>
      <c r="F48" s="22">
        <v>46000</v>
      </c>
      <c r="G48" s="73">
        <v>47</v>
      </c>
      <c r="H48" s="22">
        <v>46000</v>
      </c>
    </row>
    <row r="49" spans="1:8">
      <c r="A49" s="56">
        <v>48</v>
      </c>
      <c r="B49" s="22">
        <v>47000</v>
      </c>
      <c r="C49" s="72">
        <v>0.48</v>
      </c>
      <c r="D49" s="22">
        <v>47000</v>
      </c>
      <c r="E49" s="72">
        <v>4.8</v>
      </c>
      <c r="F49" s="22">
        <v>47000</v>
      </c>
      <c r="G49" s="73">
        <v>48</v>
      </c>
      <c r="H49" s="22">
        <v>47000</v>
      </c>
    </row>
    <row r="50" spans="1:8">
      <c r="A50" s="56">
        <v>49</v>
      </c>
      <c r="B50" s="22">
        <v>48000</v>
      </c>
      <c r="C50" s="72">
        <v>0.49</v>
      </c>
      <c r="D50" s="22">
        <v>48000</v>
      </c>
      <c r="E50" s="72">
        <v>4.9</v>
      </c>
      <c r="F50" s="22">
        <v>48000</v>
      </c>
      <c r="G50" s="73">
        <v>49</v>
      </c>
      <c r="H50" s="22">
        <v>48000</v>
      </c>
    </row>
    <row r="51" spans="1:8">
      <c r="A51" s="56">
        <v>50</v>
      </c>
      <c r="B51" s="22">
        <v>49000</v>
      </c>
      <c r="C51" s="72">
        <v>0.5</v>
      </c>
      <c r="D51" s="22">
        <v>49000</v>
      </c>
      <c r="E51" s="72">
        <v>5</v>
      </c>
      <c r="F51" s="22">
        <v>49000</v>
      </c>
      <c r="G51" s="73">
        <v>50</v>
      </c>
      <c r="H51" s="22">
        <v>49000</v>
      </c>
    </row>
    <row r="52" spans="1:8">
      <c r="A52" s="56">
        <v>51</v>
      </c>
      <c r="B52" s="22">
        <v>50000</v>
      </c>
      <c r="C52" s="72">
        <v>0.51</v>
      </c>
      <c r="D52" s="22">
        <v>50000</v>
      </c>
      <c r="E52" s="72">
        <v>5.1</v>
      </c>
      <c r="F52" s="22">
        <v>50000</v>
      </c>
      <c r="G52" s="73">
        <v>51</v>
      </c>
      <c r="H52" s="22">
        <v>50000</v>
      </c>
    </row>
    <row r="53" spans="1:8">
      <c r="A53" s="56">
        <v>52</v>
      </c>
      <c r="B53" s="22">
        <v>51000</v>
      </c>
      <c r="C53" s="72">
        <v>0.52</v>
      </c>
      <c r="D53" s="22">
        <v>51000</v>
      </c>
      <c r="E53" s="72">
        <v>5.2</v>
      </c>
      <c r="F53" s="22">
        <v>51000</v>
      </c>
      <c r="G53" s="73">
        <v>52</v>
      </c>
      <c r="H53" s="22">
        <v>51000</v>
      </c>
    </row>
    <row r="54" spans="1:8">
      <c r="A54" s="56">
        <v>53</v>
      </c>
      <c r="B54" s="22">
        <v>52000</v>
      </c>
      <c r="C54" s="72">
        <v>0.53</v>
      </c>
      <c r="D54" s="22">
        <v>52000</v>
      </c>
      <c r="E54" s="72">
        <v>5.3</v>
      </c>
      <c r="F54" s="22">
        <v>52000</v>
      </c>
      <c r="G54" s="73">
        <v>53</v>
      </c>
      <c r="H54" s="22">
        <v>52000</v>
      </c>
    </row>
    <row r="55" spans="1:8">
      <c r="A55" s="56">
        <v>54</v>
      </c>
      <c r="B55" s="22">
        <v>53000</v>
      </c>
      <c r="C55" s="72">
        <v>0.54</v>
      </c>
      <c r="D55" s="22">
        <v>53000</v>
      </c>
      <c r="E55" s="72">
        <v>5.4</v>
      </c>
      <c r="F55" s="22">
        <v>53000</v>
      </c>
      <c r="G55" s="73">
        <v>54</v>
      </c>
      <c r="H55" s="22">
        <v>53000</v>
      </c>
    </row>
    <row r="56" spans="1:8">
      <c r="A56" s="56">
        <v>55</v>
      </c>
      <c r="B56" s="22">
        <v>54000</v>
      </c>
      <c r="C56" s="72">
        <v>0.55</v>
      </c>
      <c r="D56" s="22">
        <v>54000</v>
      </c>
      <c r="E56" s="72">
        <v>5.5</v>
      </c>
      <c r="F56" s="22">
        <v>54000</v>
      </c>
      <c r="G56" s="73">
        <v>55</v>
      </c>
      <c r="H56" s="22">
        <v>54000</v>
      </c>
    </row>
    <row r="57" spans="1:8">
      <c r="A57" s="56">
        <v>56</v>
      </c>
      <c r="B57" s="22">
        <v>55000</v>
      </c>
      <c r="C57" s="72">
        <v>0.56</v>
      </c>
      <c r="D57" s="22">
        <v>55000</v>
      </c>
      <c r="E57" s="72">
        <v>5.6</v>
      </c>
      <c r="F57" s="22">
        <v>55000</v>
      </c>
      <c r="G57" s="73">
        <v>56</v>
      </c>
      <c r="H57" s="22">
        <v>55000</v>
      </c>
    </row>
    <row r="58" spans="1:8">
      <c r="A58" s="56">
        <v>57</v>
      </c>
      <c r="B58" s="22">
        <v>56000</v>
      </c>
      <c r="C58" s="72">
        <v>0.57</v>
      </c>
      <c r="D58" s="22">
        <v>56000</v>
      </c>
      <c r="E58" s="72">
        <v>5.7</v>
      </c>
      <c r="F58" s="22">
        <v>56000</v>
      </c>
      <c r="G58" s="73">
        <v>57</v>
      </c>
      <c r="H58" s="22">
        <v>56000</v>
      </c>
    </row>
    <row r="59" spans="1:8">
      <c r="A59" s="56">
        <v>58</v>
      </c>
      <c r="B59" s="22">
        <v>57000</v>
      </c>
      <c r="C59" s="72">
        <v>0.58</v>
      </c>
      <c r="D59" s="22">
        <v>57000</v>
      </c>
      <c r="E59" s="72">
        <v>5.8</v>
      </c>
      <c r="F59" s="22">
        <v>57000</v>
      </c>
      <c r="G59" s="73">
        <v>58</v>
      </c>
      <c r="H59" s="22">
        <v>57000</v>
      </c>
    </row>
    <row r="60" spans="1:8">
      <c r="A60" s="56">
        <v>59</v>
      </c>
      <c r="B60" s="22">
        <v>58000</v>
      </c>
      <c r="C60" s="72">
        <v>0.59</v>
      </c>
      <c r="D60" s="22">
        <v>58000</v>
      </c>
      <c r="E60" s="72">
        <v>5.9</v>
      </c>
      <c r="F60" s="22">
        <v>58000</v>
      </c>
      <c r="G60" s="73">
        <v>59</v>
      </c>
      <c r="H60" s="22">
        <v>58000</v>
      </c>
    </row>
    <row r="61" spans="1:8">
      <c r="A61" s="56">
        <v>60</v>
      </c>
      <c r="B61" s="22">
        <v>59000</v>
      </c>
      <c r="C61" s="72">
        <v>0.6</v>
      </c>
      <c r="D61" s="22">
        <v>59000</v>
      </c>
      <c r="E61" s="72">
        <v>6</v>
      </c>
      <c r="F61" s="22">
        <v>59000</v>
      </c>
      <c r="G61" s="73">
        <v>60</v>
      </c>
      <c r="H61" s="22">
        <v>59000</v>
      </c>
    </row>
    <row r="62" spans="1:8">
      <c r="A62" s="56">
        <v>61</v>
      </c>
      <c r="B62" s="22">
        <v>60000</v>
      </c>
      <c r="C62" s="72">
        <v>0.61</v>
      </c>
      <c r="D62" s="22">
        <v>60000</v>
      </c>
      <c r="E62" s="72">
        <v>6.1</v>
      </c>
      <c r="F62" s="22">
        <v>60000</v>
      </c>
      <c r="G62" s="73">
        <v>61</v>
      </c>
      <c r="H62" s="22">
        <v>60000</v>
      </c>
    </row>
    <row r="63" spans="1:8">
      <c r="A63" s="56">
        <v>62</v>
      </c>
      <c r="B63" s="22">
        <v>61000</v>
      </c>
      <c r="C63" s="72">
        <v>0.62</v>
      </c>
      <c r="D63" s="22">
        <v>61000</v>
      </c>
      <c r="E63" s="72">
        <v>6.2</v>
      </c>
      <c r="F63" s="22">
        <v>61000</v>
      </c>
      <c r="G63" s="73">
        <v>62</v>
      </c>
      <c r="H63" s="22">
        <v>61000</v>
      </c>
    </row>
    <row r="64" spans="1:8">
      <c r="A64" s="56">
        <v>63</v>
      </c>
      <c r="B64" s="22">
        <v>62000</v>
      </c>
      <c r="C64" s="72">
        <v>0.63</v>
      </c>
      <c r="D64" s="22">
        <v>62000</v>
      </c>
      <c r="E64" s="72">
        <v>6.3</v>
      </c>
      <c r="F64" s="22">
        <v>62000</v>
      </c>
      <c r="G64" s="73">
        <v>63</v>
      </c>
      <c r="H64" s="22">
        <v>62000</v>
      </c>
    </row>
    <row r="65" spans="1:8">
      <c r="A65" s="56">
        <v>64</v>
      </c>
      <c r="B65" s="22">
        <v>63000</v>
      </c>
      <c r="C65" s="72">
        <v>0.64</v>
      </c>
      <c r="D65" s="22">
        <v>63000</v>
      </c>
      <c r="E65" s="72">
        <v>6.4</v>
      </c>
      <c r="F65" s="22">
        <v>63000</v>
      </c>
      <c r="G65" s="73">
        <v>64</v>
      </c>
      <c r="H65" s="22">
        <v>63000</v>
      </c>
    </row>
    <row r="66" spans="1:8">
      <c r="A66" s="56">
        <v>65</v>
      </c>
      <c r="B66" s="22">
        <v>64000</v>
      </c>
      <c r="C66" s="72">
        <v>0.65</v>
      </c>
      <c r="D66" s="22">
        <v>64000</v>
      </c>
      <c r="E66" s="72">
        <v>6.5</v>
      </c>
      <c r="F66" s="22">
        <v>64000</v>
      </c>
      <c r="G66" s="73">
        <v>65</v>
      </c>
      <c r="H66" s="22">
        <v>64000</v>
      </c>
    </row>
    <row r="67" spans="1:8">
      <c r="A67" s="56">
        <v>66</v>
      </c>
      <c r="B67" s="22">
        <v>65000</v>
      </c>
      <c r="C67" s="72">
        <v>0.66</v>
      </c>
      <c r="D67" s="22">
        <v>65000</v>
      </c>
      <c r="E67" s="72">
        <v>6.6</v>
      </c>
      <c r="F67" s="22">
        <v>65000</v>
      </c>
      <c r="G67" s="73">
        <v>66</v>
      </c>
      <c r="H67" s="22">
        <v>65000</v>
      </c>
    </row>
    <row r="68" spans="1:8">
      <c r="A68" s="56">
        <v>67</v>
      </c>
      <c r="B68" s="22">
        <v>66000</v>
      </c>
      <c r="C68" s="72">
        <v>0.67</v>
      </c>
      <c r="D68" s="22">
        <v>66000</v>
      </c>
      <c r="E68" s="72">
        <v>6.7</v>
      </c>
      <c r="F68" s="22">
        <v>66000</v>
      </c>
      <c r="G68" s="73">
        <v>67</v>
      </c>
      <c r="H68" s="22">
        <v>66000</v>
      </c>
    </row>
    <row r="69" spans="1:8">
      <c r="A69" s="56">
        <v>68</v>
      </c>
      <c r="B69" s="22">
        <v>67000</v>
      </c>
      <c r="C69" s="72">
        <v>0.68</v>
      </c>
      <c r="D69" s="22">
        <v>67000</v>
      </c>
      <c r="E69" s="72">
        <v>6.8</v>
      </c>
      <c r="F69" s="22">
        <v>67000</v>
      </c>
      <c r="G69" s="73">
        <v>68</v>
      </c>
      <c r="H69" s="22">
        <v>67000</v>
      </c>
    </row>
    <row r="70" spans="1:8">
      <c r="A70" s="56">
        <v>69</v>
      </c>
      <c r="B70" s="22">
        <v>68000</v>
      </c>
      <c r="C70" s="72">
        <v>0.69</v>
      </c>
      <c r="D70" s="22">
        <v>68000</v>
      </c>
      <c r="E70" s="72">
        <v>6.9</v>
      </c>
      <c r="F70" s="22">
        <v>68000</v>
      </c>
      <c r="G70" s="73">
        <v>69</v>
      </c>
      <c r="H70" s="22">
        <v>68000</v>
      </c>
    </row>
    <row r="71" spans="1:8">
      <c r="A71" s="56">
        <v>70</v>
      </c>
      <c r="B71" s="22">
        <v>69000</v>
      </c>
      <c r="C71" s="72">
        <v>0.7</v>
      </c>
      <c r="D71" s="22">
        <v>69000</v>
      </c>
      <c r="E71" s="72">
        <v>7</v>
      </c>
      <c r="F71" s="22">
        <v>69000</v>
      </c>
      <c r="G71" s="73">
        <v>70</v>
      </c>
      <c r="H71" s="22">
        <v>69000</v>
      </c>
    </row>
    <row r="72" spans="1:8">
      <c r="A72" s="56">
        <v>71</v>
      </c>
      <c r="B72" s="22">
        <v>70000</v>
      </c>
      <c r="C72" s="72">
        <v>0.71</v>
      </c>
      <c r="D72" s="22">
        <v>70000</v>
      </c>
      <c r="E72" s="72">
        <v>7.1</v>
      </c>
      <c r="F72" s="22">
        <v>70000</v>
      </c>
      <c r="G72" s="73">
        <v>71</v>
      </c>
      <c r="H72" s="22">
        <v>70000</v>
      </c>
    </row>
    <row r="73" spans="1:8">
      <c r="A73" s="56">
        <v>72</v>
      </c>
      <c r="B73" s="22">
        <v>71000</v>
      </c>
      <c r="C73" s="72">
        <v>0.72</v>
      </c>
      <c r="D73" s="22">
        <v>71000</v>
      </c>
      <c r="E73" s="72">
        <v>7.2</v>
      </c>
      <c r="F73" s="22">
        <v>71000</v>
      </c>
      <c r="G73" s="73">
        <v>72</v>
      </c>
      <c r="H73" s="22">
        <v>71000</v>
      </c>
    </row>
    <row r="74" spans="1:8">
      <c r="A74" s="56">
        <v>73</v>
      </c>
      <c r="B74" s="22">
        <v>72000</v>
      </c>
      <c r="C74" s="72">
        <v>0.73</v>
      </c>
      <c r="D74" s="22">
        <v>72000</v>
      </c>
      <c r="E74" s="72">
        <v>7.3</v>
      </c>
      <c r="F74" s="22">
        <v>72000</v>
      </c>
      <c r="G74" s="73">
        <v>73</v>
      </c>
      <c r="H74" s="22">
        <v>72000</v>
      </c>
    </row>
    <row r="75" spans="1:8">
      <c r="A75" s="56">
        <v>74</v>
      </c>
      <c r="B75" s="22">
        <v>73000</v>
      </c>
      <c r="C75" s="72">
        <v>0.74</v>
      </c>
      <c r="D75" s="22">
        <v>73000</v>
      </c>
      <c r="E75" s="72">
        <v>7.4</v>
      </c>
      <c r="F75" s="22">
        <v>73000</v>
      </c>
      <c r="G75" s="73">
        <v>74</v>
      </c>
      <c r="H75" s="22">
        <v>73000</v>
      </c>
    </row>
    <row r="76" spans="1:8">
      <c r="A76" s="56">
        <v>75</v>
      </c>
      <c r="B76" s="22">
        <v>74000</v>
      </c>
      <c r="C76" s="72">
        <v>0.75</v>
      </c>
      <c r="D76" s="22">
        <v>74000</v>
      </c>
      <c r="E76" s="72">
        <v>7.5</v>
      </c>
      <c r="F76" s="22">
        <v>74000</v>
      </c>
      <c r="G76" s="73">
        <v>75</v>
      </c>
      <c r="H76" s="22">
        <v>74000</v>
      </c>
    </row>
    <row r="77" spans="1:8">
      <c r="A77" s="56">
        <v>76</v>
      </c>
      <c r="B77" s="22">
        <v>75000</v>
      </c>
      <c r="C77" s="72">
        <v>0.76</v>
      </c>
      <c r="D77" s="22">
        <v>75000</v>
      </c>
      <c r="E77" s="72">
        <v>7.6</v>
      </c>
      <c r="F77" s="22">
        <v>75000</v>
      </c>
      <c r="G77" s="73">
        <v>76</v>
      </c>
      <c r="H77" s="22">
        <v>75000</v>
      </c>
    </row>
    <row r="78" spans="1:8">
      <c r="A78" s="56">
        <v>77</v>
      </c>
      <c r="B78" s="22">
        <v>76000</v>
      </c>
      <c r="C78" s="72">
        <v>0.77</v>
      </c>
      <c r="D78" s="22">
        <v>76000</v>
      </c>
      <c r="E78" s="72">
        <v>7.7</v>
      </c>
      <c r="F78" s="22">
        <v>76000</v>
      </c>
      <c r="G78" s="73">
        <v>77</v>
      </c>
      <c r="H78" s="22">
        <v>76000</v>
      </c>
    </row>
    <row r="79" spans="1:8">
      <c r="A79" s="56">
        <v>78</v>
      </c>
      <c r="B79" s="22">
        <v>77000</v>
      </c>
      <c r="C79" s="72">
        <v>0.78</v>
      </c>
      <c r="D79" s="22">
        <v>77000</v>
      </c>
      <c r="E79" s="72">
        <v>7.8</v>
      </c>
      <c r="F79" s="22">
        <v>77000</v>
      </c>
      <c r="G79" s="73">
        <v>78</v>
      </c>
      <c r="H79" s="22">
        <v>77000</v>
      </c>
    </row>
    <row r="80" spans="1:8">
      <c r="A80" s="56">
        <v>79</v>
      </c>
      <c r="B80" s="22">
        <v>78000</v>
      </c>
      <c r="C80" s="72">
        <v>0.79</v>
      </c>
      <c r="D80" s="22">
        <v>78000</v>
      </c>
      <c r="E80" s="72">
        <v>7.9</v>
      </c>
      <c r="F80" s="22">
        <v>78000</v>
      </c>
      <c r="G80" s="73">
        <v>79</v>
      </c>
      <c r="H80" s="22">
        <v>78000</v>
      </c>
    </row>
    <row r="81" spans="1:8">
      <c r="A81" s="56">
        <v>80</v>
      </c>
      <c r="B81" s="22">
        <v>79000</v>
      </c>
      <c r="C81" s="72">
        <v>0.8</v>
      </c>
      <c r="D81" s="22">
        <v>79000</v>
      </c>
      <c r="E81" s="72">
        <v>8</v>
      </c>
      <c r="F81" s="22">
        <v>79000</v>
      </c>
      <c r="G81" s="73">
        <v>80</v>
      </c>
      <c r="H81" s="22">
        <v>79000</v>
      </c>
    </row>
    <row r="82" spans="1:8">
      <c r="A82" s="56">
        <v>81</v>
      </c>
      <c r="B82" s="22">
        <v>80000</v>
      </c>
      <c r="C82" s="72">
        <v>0.81</v>
      </c>
      <c r="D82" s="22">
        <v>80000</v>
      </c>
      <c r="E82" s="72">
        <v>8.1</v>
      </c>
      <c r="F82" s="22">
        <v>80000</v>
      </c>
      <c r="G82" s="73">
        <v>81</v>
      </c>
      <c r="H82" s="22">
        <v>80000</v>
      </c>
    </row>
    <row r="83" spans="1:8">
      <c r="A83" s="56">
        <v>82</v>
      </c>
      <c r="B83" s="22">
        <v>81000</v>
      </c>
      <c r="C83" s="72">
        <v>0.82</v>
      </c>
      <c r="D83" s="22">
        <v>81000</v>
      </c>
      <c r="E83" s="72">
        <v>8.2</v>
      </c>
      <c r="F83" s="22">
        <v>81000</v>
      </c>
      <c r="G83" s="73">
        <v>82</v>
      </c>
      <c r="H83" s="22">
        <v>81000</v>
      </c>
    </row>
    <row r="84" spans="1:8">
      <c r="A84" s="56">
        <v>83</v>
      </c>
      <c r="B84" s="22">
        <v>82000</v>
      </c>
      <c r="C84" s="72">
        <v>0.83</v>
      </c>
      <c r="D84" s="22">
        <v>82000</v>
      </c>
      <c r="E84" s="72">
        <v>8.3</v>
      </c>
      <c r="F84" s="22">
        <v>82000</v>
      </c>
      <c r="G84" s="73">
        <v>83</v>
      </c>
      <c r="H84" s="22">
        <v>82000</v>
      </c>
    </row>
    <row r="85" spans="1:8">
      <c r="A85" s="56">
        <v>84</v>
      </c>
      <c r="B85" s="22">
        <v>83000</v>
      </c>
      <c r="C85" s="72">
        <v>0.84</v>
      </c>
      <c r="D85" s="22">
        <v>83000</v>
      </c>
      <c r="E85" s="72">
        <v>8.4</v>
      </c>
      <c r="F85" s="22">
        <v>83000</v>
      </c>
      <c r="G85" s="73">
        <v>84</v>
      </c>
      <c r="H85" s="22">
        <v>83000</v>
      </c>
    </row>
    <row r="86" spans="1:8">
      <c r="A86" s="56">
        <v>85</v>
      </c>
      <c r="B86" s="22">
        <v>84000</v>
      </c>
      <c r="C86" s="72">
        <v>0.85</v>
      </c>
      <c r="D86" s="22">
        <v>84000</v>
      </c>
      <c r="E86" s="72">
        <v>8.5</v>
      </c>
      <c r="F86" s="22">
        <v>84000</v>
      </c>
      <c r="G86" s="73">
        <v>85</v>
      </c>
      <c r="H86" s="22">
        <v>84000</v>
      </c>
    </row>
    <row r="87" spans="1:8">
      <c r="A87" s="56">
        <v>86</v>
      </c>
      <c r="B87" s="22">
        <v>85000</v>
      </c>
      <c r="C87" s="72">
        <v>0.86</v>
      </c>
      <c r="D87" s="22">
        <v>85000</v>
      </c>
      <c r="E87" s="72">
        <v>8.6</v>
      </c>
      <c r="F87" s="22">
        <v>85000</v>
      </c>
      <c r="G87" s="73">
        <v>86</v>
      </c>
      <c r="H87" s="22">
        <v>85000</v>
      </c>
    </row>
    <row r="88" spans="1:8">
      <c r="A88" s="56">
        <v>87</v>
      </c>
      <c r="B88" s="22">
        <v>86000</v>
      </c>
      <c r="C88" s="72">
        <v>0.87</v>
      </c>
      <c r="D88" s="22">
        <v>86000</v>
      </c>
      <c r="E88" s="72">
        <v>8.7</v>
      </c>
      <c r="F88" s="22">
        <v>86000</v>
      </c>
      <c r="G88" s="73">
        <v>87</v>
      </c>
      <c r="H88" s="22">
        <v>86000</v>
      </c>
    </row>
    <row r="89" spans="1:8">
      <c r="A89" s="56">
        <v>88</v>
      </c>
      <c r="B89" s="22">
        <v>87000</v>
      </c>
      <c r="C89" s="72">
        <v>0.88</v>
      </c>
      <c r="D89" s="22">
        <v>87000</v>
      </c>
      <c r="E89" s="72">
        <v>8.8</v>
      </c>
      <c r="F89" s="22">
        <v>87000</v>
      </c>
      <c r="G89" s="73">
        <v>88</v>
      </c>
      <c r="H89" s="22">
        <v>87000</v>
      </c>
    </row>
    <row r="90" spans="1:8">
      <c r="A90" s="56">
        <v>89</v>
      </c>
      <c r="B90" s="22">
        <v>88000</v>
      </c>
      <c r="C90" s="72">
        <v>0.89</v>
      </c>
      <c r="D90" s="22">
        <v>88000</v>
      </c>
      <c r="E90" s="72">
        <v>8.9</v>
      </c>
      <c r="F90" s="22">
        <v>88000</v>
      </c>
      <c r="G90" s="73">
        <v>89</v>
      </c>
      <c r="H90" s="22">
        <v>88000</v>
      </c>
    </row>
    <row r="91" spans="1:8">
      <c r="A91" s="56">
        <v>90</v>
      </c>
      <c r="B91" s="22">
        <v>89000</v>
      </c>
      <c r="C91" s="72">
        <v>0.9</v>
      </c>
      <c r="D91" s="22">
        <v>89000</v>
      </c>
      <c r="E91" s="72">
        <v>9</v>
      </c>
      <c r="F91" s="22">
        <v>89000</v>
      </c>
      <c r="G91" s="73">
        <v>90</v>
      </c>
      <c r="H91" s="22">
        <v>89000</v>
      </c>
    </row>
    <row r="92" spans="1:8">
      <c r="A92" s="56">
        <v>91</v>
      </c>
      <c r="B92" s="22">
        <v>90000</v>
      </c>
      <c r="C92" s="72">
        <v>0.91</v>
      </c>
      <c r="D92" s="22">
        <v>90000</v>
      </c>
      <c r="E92" s="72">
        <v>9.1</v>
      </c>
      <c r="F92" s="22">
        <v>90000</v>
      </c>
      <c r="G92" s="73">
        <v>91</v>
      </c>
      <c r="H92" s="22">
        <v>90000</v>
      </c>
    </row>
    <row r="93" spans="1:8">
      <c r="A93" s="56">
        <v>92</v>
      </c>
      <c r="B93" s="22">
        <v>91000</v>
      </c>
      <c r="C93" s="72">
        <v>0.92</v>
      </c>
      <c r="D93" s="22">
        <v>91000</v>
      </c>
      <c r="E93" s="72">
        <v>9.2</v>
      </c>
      <c r="F93" s="22">
        <v>91000</v>
      </c>
      <c r="G93" s="73">
        <v>92</v>
      </c>
      <c r="H93" s="22">
        <v>91000</v>
      </c>
    </row>
    <row r="94" spans="1:8">
      <c r="A94" s="56">
        <v>93</v>
      </c>
      <c r="B94" s="22">
        <v>92000</v>
      </c>
      <c r="C94" s="72">
        <v>0.93</v>
      </c>
      <c r="D94" s="22">
        <v>92000</v>
      </c>
      <c r="E94" s="72">
        <v>9.3</v>
      </c>
      <c r="F94" s="22">
        <v>92000</v>
      </c>
      <c r="G94" s="73">
        <v>93</v>
      </c>
      <c r="H94" s="22">
        <v>92000</v>
      </c>
    </row>
    <row r="95" spans="1:8">
      <c r="A95" s="56">
        <v>94</v>
      </c>
      <c r="B95" s="22">
        <v>93000</v>
      </c>
      <c r="C95" s="72">
        <v>0.940000000000001</v>
      </c>
      <c r="D95" s="22">
        <v>93000</v>
      </c>
      <c r="E95" s="72">
        <v>9.4</v>
      </c>
      <c r="F95" s="22">
        <v>93000</v>
      </c>
      <c r="G95" s="73">
        <v>94</v>
      </c>
      <c r="H95" s="22">
        <v>93000</v>
      </c>
    </row>
    <row r="96" spans="1:8">
      <c r="A96" s="56">
        <v>95</v>
      </c>
      <c r="B96" s="22">
        <v>94000</v>
      </c>
      <c r="C96" s="72">
        <v>0.950000000000001</v>
      </c>
      <c r="D96" s="22">
        <v>94000</v>
      </c>
      <c r="E96" s="72">
        <v>9.5</v>
      </c>
      <c r="F96" s="22">
        <v>94000</v>
      </c>
      <c r="G96" s="73">
        <v>95</v>
      </c>
      <c r="H96" s="22">
        <v>94000</v>
      </c>
    </row>
    <row r="97" spans="1:8">
      <c r="A97" s="56">
        <v>96</v>
      </c>
      <c r="B97" s="22">
        <v>95000</v>
      </c>
      <c r="C97" s="72">
        <v>0.960000000000001</v>
      </c>
      <c r="D97" s="22">
        <v>95000</v>
      </c>
      <c r="E97" s="72">
        <v>9.6</v>
      </c>
      <c r="F97" s="22">
        <v>95000</v>
      </c>
      <c r="G97" s="73">
        <v>96</v>
      </c>
      <c r="H97" s="22">
        <v>95000</v>
      </c>
    </row>
    <row r="98" spans="1:8">
      <c r="A98" s="56">
        <v>97</v>
      </c>
      <c r="B98" s="22">
        <v>96000</v>
      </c>
      <c r="C98" s="72">
        <v>0.970000000000001</v>
      </c>
      <c r="D98" s="22">
        <v>96000</v>
      </c>
      <c r="E98" s="72">
        <v>9.7</v>
      </c>
      <c r="F98" s="22">
        <v>96000</v>
      </c>
      <c r="G98" s="73">
        <v>97</v>
      </c>
      <c r="H98" s="22">
        <v>96000</v>
      </c>
    </row>
    <row r="99" spans="1:8">
      <c r="A99" s="56">
        <v>98</v>
      </c>
      <c r="B99" s="22">
        <v>97000</v>
      </c>
      <c r="C99" s="72">
        <v>0.980000000000001</v>
      </c>
      <c r="D99" s="22">
        <v>97000</v>
      </c>
      <c r="E99" s="72">
        <v>9.8</v>
      </c>
      <c r="F99" s="22">
        <v>97000</v>
      </c>
      <c r="G99" s="73">
        <v>98</v>
      </c>
      <c r="H99" s="22">
        <v>97000</v>
      </c>
    </row>
    <row r="100" spans="1:8">
      <c r="A100" s="56">
        <v>99</v>
      </c>
      <c r="B100" s="22">
        <v>98000</v>
      </c>
      <c r="C100" s="72">
        <v>0.990000000000001</v>
      </c>
      <c r="D100" s="22">
        <v>98000</v>
      </c>
      <c r="E100" s="72">
        <v>9.9</v>
      </c>
      <c r="F100" s="22">
        <v>98000</v>
      </c>
      <c r="G100" s="73">
        <v>99</v>
      </c>
      <c r="H100" s="22">
        <v>98000</v>
      </c>
    </row>
    <row r="101" spans="1:8">
      <c r="A101" s="56">
        <v>100</v>
      </c>
      <c r="B101" s="22">
        <v>99000</v>
      </c>
      <c r="C101" s="72">
        <v>1</v>
      </c>
      <c r="D101" s="22">
        <v>99000</v>
      </c>
      <c r="E101" s="72">
        <v>10</v>
      </c>
      <c r="F101" s="22">
        <v>99000</v>
      </c>
      <c r="G101" s="73">
        <v>100</v>
      </c>
      <c r="H101" s="22">
        <v>99000</v>
      </c>
    </row>
    <row r="102" spans="1:8">
      <c r="A102" s="56">
        <v>101</v>
      </c>
      <c r="B102" s="22">
        <v>100000</v>
      </c>
      <c r="C102" s="72">
        <v>1.01</v>
      </c>
      <c r="D102" s="22">
        <v>100000</v>
      </c>
      <c r="E102" s="72">
        <v>10.1</v>
      </c>
      <c r="F102" s="22">
        <v>100000</v>
      </c>
      <c r="G102" s="73">
        <v>101</v>
      </c>
      <c r="H102" s="22">
        <v>100000</v>
      </c>
    </row>
    <row r="103" spans="1:8">
      <c r="A103" s="56">
        <v>102</v>
      </c>
      <c r="B103" s="22">
        <v>101000</v>
      </c>
      <c r="C103" s="72">
        <v>1.02</v>
      </c>
      <c r="D103" s="22">
        <v>101000</v>
      </c>
      <c r="E103" s="72">
        <v>10.2</v>
      </c>
      <c r="F103" s="22">
        <v>101000</v>
      </c>
      <c r="G103" s="73">
        <v>102</v>
      </c>
      <c r="H103" s="22">
        <v>101000</v>
      </c>
    </row>
    <row r="104" spans="1:8">
      <c r="A104" s="56">
        <v>103</v>
      </c>
      <c r="B104" s="22">
        <v>102000</v>
      </c>
      <c r="C104" s="72">
        <v>1.03</v>
      </c>
      <c r="D104" s="22">
        <v>102000</v>
      </c>
      <c r="E104" s="72">
        <v>10.3</v>
      </c>
      <c r="F104" s="22">
        <v>102000</v>
      </c>
      <c r="G104" s="73">
        <v>103</v>
      </c>
      <c r="H104" s="22">
        <v>102000</v>
      </c>
    </row>
    <row r="105" spans="1:8">
      <c r="A105" s="56">
        <v>104</v>
      </c>
      <c r="B105" s="22">
        <v>103000</v>
      </c>
      <c r="C105" s="72">
        <v>1.04</v>
      </c>
      <c r="D105" s="22">
        <v>103000</v>
      </c>
      <c r="E105" s="72">
        <v>10.4</v>
      </c>
      <c r="F105" s="22">
        <v>103000</v>
      </c>
      <c r="G105" s="73">
        <v>104</v>
      </c>
      <c r="H105" s="22">
        <v>103000</v>
      </c>
    </row>
    <row r="106" spans="1:8">
      <c r="A106" s="56">
        <v>105</v>
      </c>
      <c r="B106" s="22">
        <v>104000</v>
      </c>
      <c r="C106" s="72">
        <v>1.05</v>
      </c>
      <c r="D106" s="22">
        <v>104000</v>
      </c>
      <c r="E106" s="72">
        <v>10.5</v>
      </c>
      <c r="F106" s="22">
        <v>104000</v>
      </c>
      <c r="G106" s="73">
        <v>105</v>
      </c>
      <c r="H106" s="22">
        <v>104000</v>
      </c>
    </row>
    <row r="107" spans="1:8">
      <c r="A107" s="56">
        <v>106</v>
      </c>
      <c r="B107" s="22">
        <v>105000</v>
      </c>
      <c r="C107" s="72">
        <v>1.06</v>
      </c>
      <c r="D107" s="22">
        <v>105000</v>
      </c>
      <c r="E107" s="72">
        <v>10.6</v>
      </c>
      <c r="F107" s="22">
        <v>105000</v>
      </c>
      <c r="G107" s="73">
        <v>106</v>
      </c>
      <c r="H107" s="22">
        <v>105000</v>
      </c>
    </row>
    <row r="108" spans="1:8">
      <c r="A108" s="56">
        <v>107</v>
      </c>
      <c r="B108" s="22">
        <v>106000</v>
      </c>
      <c r="C108" s="72">
        <v>1.07</v>
      </c>
      <c r="D108" s="22">
        <v>106000</v>
      </c>
      <c r="E108" s="72">
        <v>10.7</v>
      </c>
      <c r="F108" s="22">
        <v>106000</v>
      </c>
      <c r="G108" s="73">
        <v>107</v>
      </c>
      <c r="H108" s="22">
        <v>106000</v>
      </c>
    </row>
    <row r="109" spans="1:8">
      <c r="A109" s="56">
        <v>108</v>
      </c>
      <c r="B109" s="22">
        <v>107000</v>
      </c>
      <c r="C109" s="72">
        <v>1.08</v>
      </c>
      <c r="D109" s="22">
        <v>107000</v>
      </c>
      <c r="E109" s="72">
        <v>10.8</v>
      </c>
      <c r="F109" s="22">
        <v>107000</v>
      </c>
      <c r="G109" s="73">
        <v>108</v>
      </c>
      <c r="H109" s="22">
        <v>107000</v>
      </c>
    </row>
    <row r="110" spans="1:8">
      <c r="A110" s="56">
        <v>109</v>
      </c>
      <c r="B110" s="22">
        <v>108000</v>
      </c>
      <c r="C110" s="72">
        <v>1.09</v>
      </c>
      <c r="D110" s="22">
        <v>108000</v>
      </c>
      <c r="E110" s="72">
        <v>10.9</v>
      </c>
      <c r="F110" s="22">
        <v>108000</v>
      </c>
      <c r="G110" s="73">
        <v>109</v>
      </c>
      <c r="H110" s="22">
        <v>108000</v>
      </c>
    </row>
    <row r="111" spans="1:8">
      <c r="A111" s="56">
        <v>110</v>
      </c>
      <c r="B111" s="22">
        <v>109000</v>
      </c>
      <c r="C111" s="72">
        <v>1.1</v>
      </c>
      <c r="D111" s="22">
        <v>109000</v>
      </c>
      <c r="E111" s="72">
        <v>11</v>
      </c>
      <c r="F111" s="22">
        <v>109000</v>
      </c>
      <c r="G111" s="73">
        <v>110</v>
      </c>
      <c r="H111" s="22">
        <v>109000</v>
      </c>
    </row>
    <row r="112" spans="1:8">
      <c r="A112" s="56">
        <v>111</v>
      </c>
      <c r="B112" s="22">
        <v>110000</v>
      </c>
      <c r="C112" s="72">
        <v>1.11</v>
      </c>
      <c r="D112" s="22">
        <v>110000</v>
      </c>
      <c r="E112" s="72">
        <v>11.1</v>
      </c>
      <c r="F112" s="22">
        <v>110000</v>
      </c>
      <c r="G112" s="73">
        <v>111</v>
      </c>
      <c r="H112" s="22">
        <v>110000</v>
      </c>
    </row>
    <row r="113" spans="1:8">
      <c r="A113" s="56">
        <v>112</v>
      </c>
      <c r="B113" s="22">
        <v>111000</v>
      </c>
      <c r="C113" s="72">
        <v>1.12</v>
      </c>
      <c r="D113" s="22">
        <v>111000</v>
      </c>
      <c r="E113" s="72">
        <v>11.2</v>
      </c>
      <c r="F113" s="22">
        <v>111000</v>
      </c>
      <c r="G113" s="73">
        <v>112</v>
      </c>
      <c r="H113" s="22">
        <v>111000</v>
      </c>
    </row>
    <row r="114" spans="1:8">
      <c r="A114" s="56">
        <v>113</v>
      </c>
      <c r="B114" s="22">
        <v>112000</v>
      </c>
      <c r="C114" s="72">
        <v>1.13</v>
      </c>
      <c r="D114" s="22">
        <v>112000</v>
      </c>
      <c r="E114" s="72">
        <v>11.3</v>
      </c>
      <c r="F114" s="22">
        <v>112000</v>
      </c>
      <c r="G114" s="73">
        <v>113</v>
      </c>
      <c r="H114" s="22">
        <v>112000</v>
      </c>
    </row>
    <row r="115" spans="1:8">
      <c r="A115" s="56">
        <v>114</v>
      </c>
      <c r="B115" s="22">
        <v>113000</v>
      </c>
      <c r="C115" s="72">
        <v>1.14</v>
      </c>
      <c r="D115" s="22">
        <v>113000</v>
      </c>
      <c r="E115" s="72">
        <v>11.4</v>
      </c>
      <c r="F115" s="22">
        <v>113000</v>
      </c>
      <c r="G115" s="73">
        <v>114</v>
      </c>
      <c r="H115" s="22">
        <v>113000</v>
      </c>
    </row>
    <row r="116" spans="1:8">
      <c r="A116" s="56">
        <v>115</v>
      </c>
      <c r="B116" s="22">
        <v>114000</v>
      </c>
      <c r="C116" s="72">
        <v>1.15</v>
      </c>
      <c r="D116" s="22">
        <v>114000</v>
      </c>
      <c r="E116" s="72">
        <v>11.5</v>
      </c>
      <c r="F116" s="22">
        <v>114000</v>
      </c>
      <c r="G116" s="73">
        <v>115</v>
      </c>
      <c r="H116" s="22">
        <v>114000</v>
      </c>
    </row>
    <row r="117" spans="1:8">
      <c r="A117" s="56">
        <v>116</v>
      </c>
      <c r="B117" s="22">
        <v>115000</v>
      </c>
      <c r="C117" s="72">
        <v>1.16</v>
      </c>
      <c r="D117" s="22">
        <v>115000</v>
      </c>
      <c r="E117" s="72">
        <v>11.6</v>
      </c>
      <c r="F117" s="22">
        <v>115000</v>
      </c>
      <c r="G117" s="73">
        <v>116</v>
      </c>
      <c r="H117" s="22">
        <v>115000</v>
      </c>
    </row>
    <row r="118" spans="1:8">
      <c r="A118" s="56">
        <v>117</v>
      </c>
      <c r="B118" s="22">
        <v>116000</v>
      </c>
      <c r="C118" s="72">
        <v>1.17</v>
      </c>
      <c r="D118" s="22">
        <v>116000</v>
      </c>
      <c r="E118" s="72">
        <v>11.7</v>
      </c>
      <c r="F118" s="22">
        <v>116000</v>
      </c>
      <c r="G118" s="73">
        <v>117</v>
      </c>
      <c r="H118" s="22">
        <v>116000</v>
      </c>
    </row>
    <row r="119" spans="1:8">
      <c r="A119" s="56">
        <v>118</v>
      </c>
      <c r="B119" s="22">
        <v>117000</v>
      </c>
      <c r="C119" s="72">
        <v>1.18</v>
      </c>
      <c r="D119" s="22">
        <v>117000</v>
      </c>
      <c r="E119" s="72">
        <v>11.8</v>
      </c>
      <c r="F119" s="22">
        <v>117000</v>
      </c>
      <c r="G119" s="73">
        <v>118</v>
      </c>
      <c r="H119" s="22">
        <v>117000</v>
      </c>
    </row>
    <row r="120" spans="1:8">
      <c r="A120" s="56">
        <v>119</v>
      </c>
      <c r="B120" s="22">
        <v>118000</v>
      </c>
      <c r="C120" s="72">
        <v>1.19</v>
      </c>
      <c r="D120" s="22">
        <v>118000</v>
      </c>
      <c r="E120" s="72">
        <v>11.9</v>
      </c>
      <c r="F120" s="22">
        <v>118000</v>
      </c>
      <c r="G120" s="73">
        <v>119</v>
      </c>
      <c r="H120" s="22">
        <v>118000</v>
      </c>
    </row>
    <row r="121" spans="1:8">
      <c r="A121" s="56">
        <v>120</v>
      </c>
      <c r="B121" s="22">
        <v>119000</v>
      </c>
      <c r="C121" s="72">
        <v>1.2</v>
      </c>
      <c r="D121" s="22">
        <v>119000</v>
      </c>
      <c r="E121" s="72">
        <v>12</v>
      </c>
      <c r="F121" s="22">
        <v>119000</v>
      </c>
      <c r="G121" s="73">
        <v>120</v>
      </c>
      <c r="H121" s="22">
        <v>119000</v>
      </c>
    </row>
    <row r="122" spans="1:8">
      <c r="A122" s="56">
        <v>121</v>
      </c>
      <c r="B122" s="22">
        <v>120000</v>
      </c>
      <c r="C122" s="72">
        <v>1.21</v>
      </c>
      <c r="D122" s="22">
        <v>120000</v>
      </c>
      <c r="E122" s="72">
        <v>12.1</v>
      </c>
      <c r="F122" s="22">
        <v>120000</v>
      </c>
      <c r="G122" s="73">
        <v>121</v>
      </c>
      <c r="H122" s="22">
        <v>120000</v>
      </c>
    </row>
    <row r="123" spans="1:8">
      <c r="A123" s="56">
        <v>122</v>
      </c>
      <c r="B123" s="22">
        <v>121000</v>
      </c>
      <c r="C123" s="72">
        <v>1.22</v>
      </c>
      <c r="D123" s="22">
        <v>121000</v>
      </c>
      <c r="E123" s="72">
        <v>12.2</v>
      </c>
      <c r="F123" s="22">
        <v>121000</v>
      </c>
      <c r="G123" s="73">
        <v>122</v>
      </c>
      <c r="H123" s="22">
        <v>121000</v>
      </c>
    </row>
    <row r="124" spans="1:8">
      <c r="A124" s="56">
        <v>123</v>
      </c>
      <c r="B124" s="22">
        <v>122000</v>
      </c>
      <c r="C124" s="72">
        <v>1.23</v>
      </c>
      <c r="D124" s="22">
        <v>122000</v>
      </c>
      <c r="E124" s="72">
        <v>12.3</v>
      </c>
      <c r="F124" s="22">
        <v>122000</v>
      </c>
      <c r="G124" s="73">
        <v>123</v>
      </c>
      <c r="H124" s="22">
        <v>122000</v>
      </c>
    </row>
    <row r="125" spans="1:8">
      <c r="A125" s="56">
        <v>124</v>
      </c>
      <c r="B125" s="22">
        <v>123000</v>
      </c>
      <c r="C125" s="72">
        <v>1.24</v>
      </c>
      <c r="D125" s="22">
        <v>123000</v>
      </c>
      <c r="E125" s="72">
        <v>12.4</v>
      </c>
      <c r="F125" s="22">
        <v>123000</v>
      </c>
      <c r="G125" s="73">
        <v>124</v>
      </c>
      <c r="H125" s="22">
        <v>123000</v>
      </c>
    </row>
    <row r="126" spans="1:8">
      <c r="A126" s="56">
        <v>125</v>
      </c>
      <c r="B126" s="22">
        <v>124000</v>
      </c>
      <c r="C126" s="72">
        <v>1.25</v>
      </c>
      <c r="D126" s="22">
        <v>124000</v>
      </c>
      <c r="E126" s="72">
        <v>12.5</v>
      </c>
      <c r="F126" s="22">
        <v>124000</v>
      </c>
      <c r="G126" s="73">
        <v>125</v>
      </c>
      <c r="H126" s="22">
        <v>124000</v>
      </c>
    </row>
    <row r="127" spans="1:8">
      <c r="A127" s="56">
        <v>126</v>
      </c>
      <c r="B127" s="22">
        <v>125000</v>
      </c>
      <c r="C127" s="72">
        <v>1.26</v>
      </c>
      <c r="D127" s="22">
        <v>125000</v>
      </c>
      <c r="E127" s="72">
        <v>12.6</v>
      </c>
      <c r="F127" s="22">
        <v>125000</v>
      </c>
      <c r="G127" s="73">
        <v>126</v>
      </c>
      <c r="H127" s="22">
        <v>125000</v>
      </c>
    </row>
    <row r="128" spans="1:8">
      <c r="A128" s="56">
        <v>127</v>
      </c>
      <c r="B128" s="22">
        <v>126000</v>
      </c>
      <c r="C128" s="72">
        <v>1.27</v>
      </c>
      <c r="D128" s="22">
        <v>126000</v>
      </c>
      <c r="E128" s="72">
        <v>12.7</v>
      </c>
      <c r="F128" s="22">
        <v>126000</v>
      </c>
      <c r="G128" s="73">
        <v>127</v>
      </c>
      <c r="H128" s="22">
        <v>126000</v>
      </c>
    </row>
    <row r="129" spans="1:8">
      <c r="A129" s="56">
        <v>128</v>
      </c>
      <c r="B129" s="22">
        <v>127000</v>
      </c>
      <c r="C129" s="72">
        <v>1.28</v>
      </c>
      <c r="D129" s="22">
        <v>127000</v>
      </c>
      <c r="E129" s="72">
        <v>12.8</v>
      </c>
      <c r="F129" s="22">
        <v>127000</v>
      </c>
      <c r="G129" s="73">
        <v>128</v>
      </c>
      <c r="H129" s="22">
        <v>127000</v>
      </c>
    </row>
    <row r="130" spans="1:8">
      <c r="A130" s="56">
        <v>129</v>
      </c>
      <c r="B130" s="22">
        <v>128000</v>
      </c>
      <c r="C130" s="72">
        <v>1.29</v>
      </c>
      <c r="D130" s="22">
        <v>128000</v>
      </c>
      <c r="E130" s="72">
        <v>12.9</v>
      </c>
      <c r="F130" s="22">
        <v>128000</v>
      </c>
      <c r="G130" s="73">
        <v>129</v>
      </c>
      <c r="H130" s="22">
        <v>128000</v>
      </c>
    </row>
    <row r="131" spans="1:8">
      <c r="A131" s="56">
        <v>130</v>
      </c>
      <c r="B131" s="22">
        <v>129000</v>
      </c>
      <c r="C131" s="72">
        <v>1.3</v>
      </c>
      <c r="D131" s="22">
        <v>129000</v>
      </c>
      <c r="E131" s="72">
        <v>13</v>
      </c>
      <c r="F131" s="22">
        <v>129000</v>
      </c>
      <c r="G131" s="73">
        <v>130</v>
      </c>
      <c r="H131" s="22">
        <v>129000</v>
      </c>
    </row>
    <row r="132" spans="1:8">
      <c r="A132" s="56">
        <v>131</v>
      </c>
      <c r="B132" s="22">
        <v>130000</v>
      </c>
      <c r="C132" s="72">
        <v>1.31</v>
      </c>
      <c r="D132" s="22">
        <v>130000</v>
      </c>
      <c r="E132" s="72">
        <v>13.1</v>
      </c>
      <c r="F132" s="22">
        <v>130000</v>
      </c>
      <c r="G132" s="73">
        <v>131</v>
      </c>
      <c r="H132" s="22">
        <v>130000</v>
      </c>
    </row>
    <row r="133" spans="1:8">
      <c r="A133" s="56">
        <v>132</v>
      </c>
      <c r="B133" s="22">
        <v>131000</v>
      </c>
      <c r="C133" s="72">
        <v>1.32</v>
      </c>
      <c r="D133" s="22">
        <v>131000</v>
      </c>
      <c r="E133" s="72">
        <v>13.2</v>
      </c>
      <c r="F133" s="22">
        <v>131000</v>
      </c>
      <c r="G133" s="73">
        <v>132</v>
      </c>
      <c r="H133" s="22">
        <v>131000</v>
      </c>
    </row>
    <row r="134" spans="1:8">
      <c r="A134" s="56">
        <v>133</v>
      </c>
      <c r="B134" s="22">
        <v>132000</v>
      </c>
      <c r="C134" s="72">
        <v>1.33</v>
      </c>
      <c r="D134" s="22">
        <v>132000</v>
      </c>
      <c r="E134" s="72">
        <v>13.3</v>
      </c>
      <c r="F134" s="22">
        <v>132000</v>
      </c>
      <c r="G134" s="73">
        <v>133</v>
      </c>
      <c r="H134" s="22">
        <v>132000</v>
      </c>
    </row>
    <row r="135" spans="1:8">
      <c r="A135" s="56">
        <v>134</v>
      </c>
      <c r="B135" s="22">
        <v>133000</v>
      </c>
      <c r="C135" s="72">
        <v>1.34</v>
      </c>
      <c r="D135" s="22">
        <v>133000</v>
      </c>
      <c r="E135" s="72">
        <v>13.4</v>
      </c>
      <c r="F135" s="22">
        <v>133000</v>
      </c>
      <c r="G135" s="73">
        <v>134</v>
      </c>
      <c r="H135" s="22">
        <v>133000</v>
      </c>
    </row>
    <row r="136" spans="1:8">
      <c r="A136" s="56">
        <v>135</v>
      </c>
      <c r="B136" s="22">
        <v>134000</v>
      </c>
      <c r="C136" s="72">
        <v>1.35</v>
      </c>
      <c r="D136" s="22">
        <v>134000</v>
      </c>
      <c r="E136" s="72">
        <v>13.5</v>
      </c>
      <c r="F136" s="22">
        <v>134000</v>
      </c>
      <c r="G136" s="73">
        <v>135</v>
      </c>
      <c r="H136" s="22">
        <v>134000</v>
      </c>
    </row>
    <row r="137" spans="1:8">
      <c r="A137" s="56">
        <v>136</v>
      </c>
      <c r="B137" s="22">
        <v>135000</v>
      </c>
      <c r="C137" s="72">
        <v>1.36</v>
      </c>
      <c r="D137" s="22">
        <v>135000</v>
      </c>
      <c r="E137" s="72">
        <v>13.6</v>
      </c>
      <c r="F137" s="22">
        <v>135000</v>
      </c>
      <c r="G137" s="73">
        <v>136</v>
      </c>
      <c r="H137" s="22">
        <v>135000</v>
      </c>
    </row>
    <row r="138" spans="1:8">
      <c r="A138" s="56">
        <v>137</v>
      </c>
      <c r="B138" s="22">
        <v>136000</v>
      </c>
      <c r="C138" s="72">
        <v>1.37</v>
      </c>
      <c r="D138" s="22">
        <v>136000</v>
      </c>
      <c r="E138" s="72">
        <v>13.7</v>
      </c>
      <c r="F138" s="22">
        <v>136000</v>
      </c>
      <c r="G138" s="73">
        <v>137</v>
      </c>
      <c r="H138" s="22">
        <v>136000</v>
      </c>
    </row>
    <row r="139" spans="1:8">
      <c r="A139" s="56">
        <v>138</v>
      </c>
      <c r="B139" s="22">
        <v>137000</v>
      </c>
      <c r="C139" s="72">
        <v>1.38</v>
      </c>
      <c r="D139" s="22">
        <v>137000</v>
      </c>
      <c r="E139" s="72">
        <v>13.8</v>
      </c>
      <c r="F139" s="22">
        <v>137000</v>
      </c>
      <c r="G139" s="73">
        <v>138</v>
      </c>
      <c r="H139" s="22">
        <v>137000</v>
      </c>
    </row>
    <row r="140" spans="1:8">
      <c r="A140" s="56">
        <v>139</v>
      </c>
      <c r="B140" s="22">
        <v>138000</v>
      </c>
      <c r="C140" s="72">
        <v>1.39</v>
      </c>
      <c r="D140" s="22">
        <v>138000</v>
      </c>
      <c r="E140" s="72">
        <v>13.9</v>
      </c>
      <c r="F140" s="22">
        <v>138000</v>
      </c>
      <c r="G140" s="73">
        <v>139</v>
      </c>
      <c r="H140" s="22">
        <v>138000</v>
      </c>
    </row>
    <row r="141" spans="1:8">
      <c r="A141" s="56">
        <v>140</v>
      </c>
      <c r="B141" s="22">
        <v>139000</v>
      </c>
      <c r="C141" s="72">
        <v>1.4</v>
      </c>
      <c r="D141" s="22">
        <v>139000</v>
      </c>
      <c r="E141" s="72">
        <v>14</v>
      </c>
      <c r="F141" s="22">
        <v>139000</v>
      </c>
      <c r="G141" s="73">
        <v>140</v>
      </c>
      <c r="H141" s="22">
        <v>139000</v>
      </c>
    </row>
    <row r="142" spans="1:8">
      <c r="A142" s="56">
        <v>141</v>
      </c>
      <c r="B142" s="22">
        <v>140000</v>
      </c>
      <c r="C142" s="72">
        <v>1.41</v>
      </c>
      <c r="D142" s="22">
        <v>140000</v>
      </c>
      <c r="E142" s="72">
        <v>14.1</v>
      </c>
      <c r="F142" s="22">
        <v>140000</v>
      </c>
      <c r="G142" s="73">
        <v>141</v>
      </c>
      <c r="H142" s="22">
        <v>140000</v>
      </c>
    </row>
    <row r="143" spans="1:8">
      <c r="A143" s="56">
        <v>142</v>
      </c>
      <c r="B143" s="22">
        <v>141000</v>
      </c>
      <c r="C143" s="72">
        <v>1.42</v>
      </c>
      <c r="D143" s="22">
        <v>141000</v>
      </c>
      <c r="E143" s="72">
        <v>14.2</v>
      </c>
      <c r="F143" s="22">
        <v>141000</v>
      </c>
      <c r="G143" s="73">
        <v>142</v>
      </c>
      <c r="H143" s="22">
        <v>141000</v>
      </c>
    </row>
    <row r="144" spans="1:8">
      <c r="A144" s="56">
        <v>143</v>
      </c>
      <c r="B144" s="22">
        <v>142000</v>
      </c>
      <c r="C144" s="72">
        <v>1.43</v>
      </c>
      <c r="D144" s="22">
        <v>142000</v>
      </c>
      <c r="E144" s="72">
        <v>14.3</v>
      </c>
      <c r="F144" s="22">
        <v>142000</v>
      </c>
      <c r="G144" s="73">
        <v>143</v>
      </c>
      <c r="H144" s="22">
        <v>142000</v>
      </c>
    </row>
    <row r="145" spans="1:8">
      <c r="A145" s="56">
        <v>144</v>
      </c>
      <c r="B145" s="22">
        <v>143000</v>
      </c>
      <c r="C145" s="72">
        <v>1.44</v>
      </c>
      <c r="D145" s="22">
        <v>143000</v>
      </c>
      <c r="E145" s="72">
        <v>14.4</v>
      </c>
      <c r="F145" s="22">
        <v>143000</v>
      </c>
      <c r="G145" s="73">
        <v>144</v>
      </c>
      <c r="H145" s="22">
        <v>143000</v>
      </c>
    </row>
    <row r="146" spans="1:8">
      <c r="A146" s="56">
        <v>145</v>
      </c>
      <c r="B146" s="22">
        <v>144000</v>
      </c>
      <c r="C146" s="72">
        <v>1.45</v>
      </c>
      <c r="D146" s="22">
        <v>144000</v>
      </c>
      <c r="E146" s="72">
        <v>14.5</v>
      </c>
      <c r="F146" s="22">
        <v>144000</v>
      </c>
      <c r="G146" s="73">
        <v>145</v>
      </c>
      <c r="H146" s="22">
        <v>144000</v>
      </c>
    </row>
    <row r="147" spans="1:8">
      <c r="A147" s="56">
        <v>146</v>
      </c>
      <c r="B147" s="22">
        <v>145000</v>
      </c>
      <c r="C147" s="72">
        <v>1.46</v>
      </c>
      <c r="D147" s="22">
        <v>145000</v>
      </c>
      <c r="E147" s="72">
        <v>14.6</v>
      </c>
      <c r="F147" s="22">
        <v>145000</v>
      </c>
      <c r="G147" s="73">
        <v>146</v>
      </c>
      <c r="H147" s="22">
        <v>145000</v>
      </c>
    </row>
    <row r="148" spans="1:8">
      <c r="A148" s="56">
        <v>147</v>
      </c>
      <c r="B148" s="22">
        <v>146000</v>
      </c>
      <c r="C148" s="72">
        <v>1.47</v>
      </c>
      <c r="D148" s="22">
        <v>146000</v>
      </c>
      <c r="E148" s="72">
        <v>14.7</v>
      </c>
      <c r="F148" s="22">
        <v>146000</v>
      </c>
      <c r="G148" s="73">
        <v>147</v>
      </c>
      <c r="H148" s="22">
        <v>146000</v>
      </c>
    </row>
    <row r="149" spans="1:8">
      <c r="A149" s="56">
        <v>148</v>
      </c>
      <c r="B149" s="22">
        <v>147000</v>
      </c>
      <c r="C149" s="72">
        <v>1.48</v>
      </c>
      <c r="D149" s="22">
        <v>147000</v>
      </c>
      <c r="E149" s="72">
        <v>14.8</v>
      </c>
      <c r="F149" s="22">
        <v>147000</v>
      </c>
      <c r="G149" s="73">
        <v>148</v>
      </c>
      <c r="H149" s="22">
        <v>147000</v>
      </c>
    </row>
    <row r="150" spans="1:8">
      <c r="A150" s="56">
        <v>149</v>
      </c>
      <c r="B150" s="22">
        <v>148000</v>
      </c>
      <c r="C150" s="72">
        <v>1.49</v>
      </c>
      <c r="D150" s="22">
        <v>148000</v>
      </c>
      <c r="E150" s="72">
        <v>14.9</v>
      </c>
      <c r="F150" s="22">
        <v>148000</v>
      </c>
      <c r="G150" s="73">
        <v>149</v>
      </c>
      <c r="H150" s="22">
        <v>148000</v>
      </c>
    </row>
    <row r="151" spans="1:8">
      <c r="A151" s="56">
        <v>150</v>
      </c>
      <c r="B151" s="22">
        <v>149000</v>
      </c>
      <c r="C151" s="72">
        <v>1.5</v>
      </c>
      <c r="D151" s="22">
        <v>149000</v>
      </c>
      <c r="E151" s="72">
        <v>15</v>
      </c>
      <c r="F151" s="22">
        <v>149000</v>
      </c>
      <c r="G151" s="73">
        <v>150</v>
      </c>
      <c r="H151" s="22">
        <v>149000</v>
      </c>
    </row>
    <row r="152" spans="1:8">
      <c r="A152" s="56">
        <v>151</v>
      </c>
      <c r="B152" s="22">
        <v>150000</v>
      </c>
      <c r="C152" s="72">
        <v>1.51</v>
      </c>
      <c r="D152" s="22">
        <v>150000</v>
      </c>
      <c r="E152" s="72">
        <v>15.1</v>
      </c>
      <c r="F152" s="22">
        <v>150000</v>
      </c>
      <c r="G152" s="73">
        <v>151</v>
      </c>
      <c r="H152" s="22">
        <v>150000</v>
      </c>
    </row>
    <row r="153" spans="1:8">
      <c r="A153" s="56">
        <v>152</v>
      </c>
      <c r="B153" s="22">
        <v>151000</v>
      </c>
      <c r="C153" s="72">
        <v>1.52</v>
      </c>
      <c r="D153" s="22">
        <v>151000</v>
      </c>
      <c r="E153" s="72">
        <v>15.2</v>
      </c>
      <c r="F153" s="22">
        <v>151000</v>
      </c>
      <c r="G153" s="73">
        <v>152</v>
      </c>
      <c r="H153" s="22">
        <v>151000</v>
      </c>
    </row>
    <row r="154" spans="1:8">
      <c r="A154" s="56">
        <v>153</v>
      </c>
      <c r="B154" s="22">
        <v>152000</v>
      </c>
      <c r="C154" s="72">
        <v>1.53</v>
      </c>
      <c r="D154" s="22">
        <v>152000</v>
      </c>
      <c r="E154" s="72">
        <v>15.3</v>
      </c>
      <c r="F154" s="22">
        <v>152000</v>
      </c>
      <c r="G154" s="73">
        <v>153</v>
      </c>
      <c r="H154" s="22">
        <v>152000</v>
      </c>
    </row>
    <row r="155" spans="1:8">
      <c r="A155" s="56">
        <v>154</v>
      </c>
      <c r="B155" s="22">
        <v>153000</v>
      </c>
      <c r="C155" s="72">
        <v>1.54</v>
      </c>
      <c r="D155" s="22">
        <v>153000</v>
      </c>
      <c r="E155" s="72">
        <v>15.4</v>
      </c>
      <c r="F155" s="22">
        <v>153000</v>
      </c>
      <c r="G155" s="73">
        <v>154</v>
      </c>
      <c r="H155" s="22">
        <v>153000</v>
      </c>
    </row>
    <row r="156" spans="1:8">
      <c r="A156" s="56">
        <v>155</v>
      </c>
      <c r="B156" s="22">
        <v>154000</v>
      </c>
      <c r="C156" s="72">
        <v>1.55</v>
      </c>
      <c r="D156" s="22">
        <v>154000</v>
      </c>
      <c r="E156" s="72">
        <v>15.5</v>
      </c>
      <c r="F156" s="22">
        <v>154000</v>
      </c>
      <c r="G156" s="73">
        <v>155</v>
      </c>
      <c r="H156" s="22">
        <v>154000</v>
      </c>
    </row>
    <row r="157" spans="1:8">
      <c r="A157" s="56">
        <v>156</v>
      </c>
      <c r="B157" s="22">
        <v>155000</v>
      </c>
      <c r="C157" s="72">
        <v>1.56</v>
      </c>
      <c r="D157" s="22">
        <v>155000</v>
      </c>
      <c r="E157" s="72">
        <v>15.6</v>
      </c>
      <c r="F157" s="22">
        <v>155000</v>
      </c>
      <c r="G157" s="73">
        <v>156</v>
      </c>
      <c r="H157" s="22">
        <v>155000</v>
      </c>
    </row>
    <row r="158" spans="1:8">
      <c r="A158" s="56">
        <v>157</v>
      </c>
      <c r="B158" s="22">
        <v>156000</v>
      </c>
      <c r="C158" s="72">
        <v>1.57</v>
      </c>
      <c r="D158" s="22">
        <v>156000</v>
      </c>
      <c r="E158" s="72">
        <v>15.7</v>
      </c>
      <c r="F158" s="22">
        <v>156000</v>
      </c>
      <c r="G158" s="73">
        <v>157</v>
      </c>
      <c r="H158" s="22">
        <v>156000</v>
      </c>
    </row>
    <row r="159" spans="1:8">
      <c r="A159" s="56">
        <v>158</v>
      </c>
      <c r="B159" s="22">
        <v>157000</v>
      </c>
      <c r="C159" s="72">
        <v>1.58</v>
      </c>
      <c r="D159" s="22">
        <v>157000</v>
      </c>
      <c r="E159" s="72">
        <v>15.8</v>
      </c>
      <c r="F159" s="22">
        <v>157000</v>
      </c>
      <c r="G159" s="73">
        <v>158</v>
      </c>
      <c r="H159" s="22">
        <v>157000</v>
      </c>
    </row>
    <row r="160" spans="1:8">
      <c r="A160" s="56">
        <v>159</v>
      </c>
      <c r="B160" s="22">
        <v>158000</v>
      </c>
      <c r="C160" s="72">
        <v>1.59</v>
      </c>
      <c r="D160" s="22">
        <v>158000</v>
      </c>
      <c r="E160" s="72">
        <v>15.9</v>
      </c>
      <c r="F160" s="22">
        <v>158000</v>
      </c>
      <c r="G160" s="73">
        <v>159</v>
      </c>
      <c r="H160" s="22">
        <v>158000</v>
      </c>
    </row>
    <row r="161" spans="1:8">
      <c r="A161" s="56">
        <v>160</v>
      </c>
      <c r="B161" s="22">
        <v>159000</v>
      </c>
      <c r="C161" s="72">
        <v>1.6</v>
      </c>
      <c r="D161" s="22">
        <v>159000</v>
      </c>
      <c r="E161" s="72">
        <v>16</v>
      </c>
      <c r="F161" s="22">
        <v>159000</v>
      </c>
      <c r="G161" s="73">
        <v>160</v>
      </c>
      <c r="H161" s="22">
        <v>159000</v>
      </c>
    </row>
    <row r="162" spans="1:8">
      <c r="A162" s="56">
        <v>161</v>
      </c>
      <c r="B162" s="22">
        <v>160000</v>
      </c>
      <c r="C162" s="72">
        <v>1.61</v>
      </c>
      <c r="D162" s="22">
        <v>160000</v>
      </c>
      <c r="E162" s="72">
        <v>16.1</v>
      </c>
      <c r="F162" s="22">
        <v>160000</v>
      </c>
      <c r="G162" s="73">
        <v>161</v>
      </c>
      <c r="H162" s="22">
        <v>160000</v>
      </c>
    </row>
    <row r="163" spans="1:8">
      <c r="A163" s="56">
        <v>162</v>
      </c>
      <c r="B163" s="22">
        <v>161000</v>
      </c>
      <c r="C163" s="72">
        <v>1.62</v>
      </c>
      <c r="D163" s="22">
        <v>161000</v>
      </c>
      <c r="E163" s="72">
        <v>16.2</v>
      </c>
      <c r="F163" s="22">
        <v>161000</v>
      </c>
      <c r="G163" s="73">
        <v>162</v>
      </c>
      <c r="H163" s="22">
        <v>161000</v>
      </c>
    </row>
    <row r="164" spans="1:8">
      <c r="A164" s="56">
        <v>163</v>
      </c>
      <c r="B164" s="22">
        <v>162000</v>
      </c>
      <c r="C164" s="72">
        <v>1.63</v>
      </c>
      <c r="D164" s="22">
        <v>162000</v>
      </c>
      <c r="E164" s="72">
        <v>16.3</v>
      </c>
      <c r="F164" s="22">
        <v>162000</v>
      </c>
      <c r="G164" s="73">
        <v>163</v>
      </c>
      <c r="H164" s="22">
        <v>162000</v>
      </c>
    </row>
    <row r="165" spans="1:8">
      <c r="A165" s="56">
        <v>164</v>
      </c>
      <c r="B165" s="22">
        <v>163000</v>
      </c>
      <c r="C165" s="72">
        <v>1.64</v>
      </c>
      <c r="D165" s="22">
        <v>163000</v>
      </c>
      <c r="E165" s="72">
        <v>16.4</v>
      </c>
      <c r="F165" s="22">
        <v>163000</v>
      </c>
      <c r="G165" s="73">
        <v>164</v>
      </c>
      <c r="H165" s="22">
        <v>163000</v>
      </c>
    </row>
    <row r="166" spans="1:8">
      <c r="A166" s="56">
        <v>165</v>
      </c>
      <c r="B166" s="22">
        <v>164000</v>
      </c>
      <c r="C166" s="72">
        <v>1.65</v>
      </c>
      <c r="D166" s="22">
        <v>164000</v>
      </c>
      <c r="E166" s="72">
        <v>16.5</v>
      </c>
      <c r="F166" s="22">
        <v>164000</v>
      </c>
      <c r="G166" s="73">
        <v>165</v>
      </c>
      <c r="H166" s="22">
        <v>164000</v>
      </c>
    </row>
    <row r="167" spans="1:8">
      <c r="A167" s="56">
        <v>166</v>
      </c>
      <c r="B167" s="22">
        <v>165000</v>
      </c>
      <c r="C167" s="72">
        <v>1.66</v>
      </c>
      <c r="D167" s="22">
        <v>165000</v>
      </c>
      <c r="E167" s="72">
        <v>16.6</v>
      </c>
      <c r="F167" s="22">
        <v>165000</v>
      </c>
      <c r="G167" s="73">
        <v>166</v>
      </c>
      <c r="H167" s="22">
        <v>165000</v>
      </c>
    </row>
    <row r="168" spans="1:8">
      <c r="A168" s="56">
        <v>167</v>
      </c>
      <c r="B168" s="22">
        <v>166000</v>
      </c>
      <c r="C168" s="72">
        <v>1.67</v>
      </c>
      <c r="D168" s="22">
        <v>166000</v>
      </c>
      <c r="E168" s="72">
        <v>16.7</v>
      </c>
      <c r="F168" s="22">
        <v>166000</v>
      </c>
      <c r="G168" s="73">
        <v>167</v>
      </c>
      <c r="H168" s="22">
        <v>166000</v>
      </c>
    </row>
    <row r="169" spans="1:8">
      <c r="A169" s="56">
        <v>168</v>
      </c>
      <c r="B169" s="22">
        <v>167000</v>
      </c>
      <c r="C169" s="72">
        <v>1.68</v>
      </c>
      <c r="D169" s="22">
        <v>167000</v>
      </c>
      <c r="E169" s="72">
        <v>16.8</v>
      </c>
      <c r="F169" s="22">
        <v>167000</v>
      </c>
      <c r="G169" s="73">
        <v>168</v>
      </c>
      <c r="H169" s="22">
        <v>167000</v>
      </c>
    </row>
    <row r="170" spans="1:8">
      <c r="A170" s="56">
        <v>169</v>
      </c>
      <c r="B170" s="22">
        <v>168000</v>
      </c>
      <c r="C170" s="72">
        <v>1.69</v>
      </c>
      <c r="D170" s="22">
        <v>168000</v>
      </c>
      <c r="E170" s="72">
        <v>16.9</v>
      </c>
      <c r="F170" s="22">
        <v>168000</v>
      </c>
      <c r="G170" s="73">
        <v>169</v>
      </c>
      <c r="H170" s="22">
        <v>168000</v>
      </c>
    </row>
    <row r="171" spans="1:8">
      <c r="A171" s="56">
        <v>170</v>
      </c>
      <c r="B171" s="22">
        <v>169000</v>
      </c>
      <c r="C171" s="72">
        <v>1.7</v>
      </c>
      <c r="D171" s="22">
        <v>169000</v>
      </c>
      <c r="E171" s="72">
        <v>17</v>
      </c>
      <c r="F171" s="22">
        <v>169000</v>
      </c>
      <c r="G171" s="73">
        <v>170</v>
      </c>
      <c r="H171" s="22">
        <v>169000</v>
      </c>
    </row>
    <row r="172" spans="1:8">
      <c r="A172" s="56">
        <v>171</v>
      </c>
      <c r="B172" s="22">
        <v>170000</v>
      </c>
      <c r="C172" s="72">
        <v>1.71</v>
      </c>
      <c r="D172" s="22">
        <v>170000</v>
      </c>
      <c r="E172" s="72">
        <v>17.1</v>
      </c>
      <c r="F172" s="22">
        <v>170000</v>
      </c>
      <c r="G172" s="73">
        <v>171</v>
      </c>
      <c r="H172" s="22">
        <v>170000</v>
      </c>
    </row>
    <row r="173" spans="1:8">
      <c r="A173" s="56">
        <v>172</v>
      </c>
      <c r="B173" s="22">
        <v>171000</v>
      </c>
      <c r="C173" s="72">
        <v>1.72</v>
      </c>
      <c r="D173" s="22">
        <v>171000</v>
      </c>
      <c r="E173" s="72">
        <v>17.2</v>
      </c>
      <c r="F173" s="22">
        <v>171000</v>
      </c>
      <c r="G173" s="73">
        <v>172</v>
      </c>
      <c r="H173" s="22">
        <v>171000</v>
      </c>
    </row>
    <row r="174" spans="1:8">
      <c r="A174" s="56">
        <v>173</v>
      </c>
      <c r="B174" s="22">
        <v>172000</v>
      </c>
      <c r="C174" s="72">
        <v>1.73</v>
      </c>
      <c r="D174" s="22">
        <v>172000</v>
      </c>
      <c r="E174" s="72">
        <v>17.3</v>
      </c>
      <c r="F174" s="22">
        <v>172000</v>
      </c>
      <c r="G174" s="73">
        <v>173</v>
      </c>
      <c r="H174" s="22">
        <v>172000</v>
      </c>
    </row>
    <row r="175" spans="1:8">
      <c r="A175" s="56">
        <v>174</v>
      </c>
      <c r="B175" s="22">
        <v>173000</v>
      </c>
      <c r="C175" s="72">
        <v>1.74</v>
      </c>
      <c r="D175" s="22">
        <v>173000</v>
      </c>
      <c r="E175" s="72">
        <v>17.4</v>
      </c>
      <c r="F175" s="22">
        <v>173000</v>
      </c>
      <c r="G175" s="73">
        <v>174</v>
      </c>
      <c r="H175" s="22">
        <v>173000</v>
      </c>
    </row>
    <row r="176" spans="1:8">
      <c r="A176" s="56">
        <v>175</v>
      </c>
      <c r="B176" s="22">
        <v>174000</v>
      </c>
      <c r="C176" s="72">
        <v>1.75</v>
      </c>
      <c r="D176" s="22">
        <v>174000</v>
      </c>
      <c r="E176" s="72">
        <v>17.5</v>
      </c>
      <c r="F176" s="22">
        <v>174000</v>
      </c>
      <c r="G176" s="73">
        <v>175</v>
      </c>
      <c r="H176" s="22">
        <v>174000</v>
      </c>
    </row>
    <row r="177" spans="1:8">
      <c r="A177" s="56">
        <v>176</v>
      </c>
      <c r="B177" s="22">
        <v>175000</v>
      </c>
      <c r="C177" s="72">
        <v>1.76</v>
      </c>
      <c r="D177" s="22">
        <v>175000</v>
      </c>
      <c r="E177" s="72">
        <v>17.6</v>
      </c>
      <c r="F177" s="22">
        <v>175000</v>
      </c>
      <c r="G177" s="73">
        <v>176</v>
      </c>
      <c r="H177" s="22">
        <v>175000</v>
      </c>
    </row>
    <row r="178" spans="1:8">
      <c r="A178" s="56">
        <v>177</v>
      </c>
      <c r="B178" s="22">
        <v>176000</v>
      </c>
      <c r="C178" s="72">
        <v>1.77</v>
      </c>
      <c r="D178" s="22">
        <v>176000</v>
      </c>
      <c r="E178" s="72">
        <v>17.7</v>
      </c>
      <c r="F178" s="22">
        <v>176000</v>
      </c>
      <c r="G178" s="73">
        <v>177</v>
      </c>
      <c r="H178" s="22">
        <v>176000</v>
      </c>
    </row>
    <row r="179" spans="1:8">
      <c r="A179" s="56">
        <v>178</v>
      </c>
      <c r="B179" s="22">
        <v>177000</v>
      </c>
      <c r="C179" s="72">
        <v>1.78</v>
      </c>
      <c r="D179" s="22">
        <v>177000</v>
      </c>
      <c r="E179" s="72">
        <v>17.8</v>
      </c>
      <c r="F179" s="22">
        <v>177000</v>
      </c>
      <c r="G179" s="73">
        <v>178</v>
      </c>
      <c r="H179" s="22">
        <v>177000</v>
      </c>
    </row>
    <row r="180" spans="1:8">
      <c r="A180" s="56">
        <v>179</v>
      </c>
      <c r="B180" s="22">
        <v>178000</v>
      </c>
      <c r="C180" s="72">
        <v>1.79</v>
      </c>
      <c r="D180" s="22">
        <v>178000</v>
      </c>
      <c r="E180" s="72">
        <v>17.9</v>
      </c>
      <c r="F180" s="22">
        <v>178000</v>
      </c>
      <c r="G180" s="73">
        <v>179</v>
      </c>
      <c r="H180" s="22">
        <v>178000</v>
      </c>
    </row>
    <row r="181" spans="1:8">
      <c r="A181" s="56">
        <v>180</v>
      </c>
      <c r="B181" s="22">
        <v>179000</v>
      </c>
      <c r="C181" s="72">
        <v>1.8</v>
      </c>
      <c r="D181" s="22">
        <v>179000</v>
      </c>
      <c r="E181" s="72">
        <v>18</v>
      </c>
      <c r="F181" s="22">
        <v>179000</v>
      </c>
      <c r="G181" s="73">
        <v>180</v>
      </c>
      <c r="H181" s="22">
        <v>179000</v>
      </c>
    </row>
    <row r="182" spans="1:8">
      <c r="A182" s="56">
        <v>181</v>
      </c>
      <c r="B182" s="22">
        <v>180000</v>
      </c>
      <c r="C182" s="72">
        <v>1.81</v>
      </c>
      <c r="D182" s="22">
        <v>180000</v>
      </c>
      <c r="E182" s="72">
        <v>18.1</v>
      </c>
      <c r="F182" s="22">
        <v>180000</v>
      </c>
      <c r="G182" s="73">
        <v>181</v>
      </c>
      <c r="H182" s="22">
        <v>180000</v>
      </c>
    </row>
    <row r="183" spans="1:8">
      <c r="A183" s="56">
        <v>182</v>
      </c>
      <c r="B183" s="22">
        <v>181000</v>
      </c>
      <c r="C183" s="72">
        <v>1.82</v>
      </c>
      <c r="D183" s="22">
        <v>181000</v>
      </c>
      <c r="E183" s="72">
        <v>18.2</v>
      </c>
      <c r="F183" s="22">
        <v>181000</v>
      </c>
      <c r="G183" s="73">
        <v>182</v>
      </c>
      <c r="H183" s="22">
        <v>181000</v>
      </c>
    </row>
    <row r="184" spans="1:8">
      <c r="A184" s="56">
        <v>183</v>
      </c>
      <c r="B184" s="22">
        <v>182000</v>
      </c>
      <c r="C184" s="72">
        <v>1.83</v>
      </c>
      <c r="D184" s="22">
        <v>182000</v>
      </c>
      <c r="E184" s="72">
        <v>18.3</v>
      </c>
      <c r="F184" s="22">
        <v>182000</v>
      </c>
      <c r="G184" s="73">
        <v>183</v>
      </c>
      <c r="H184" s="22">
        <v>182000</v>
      </c>
    </row>
    <row r="185" spans="1:8">
      <c r="A185" s="56">
        <v>184</v>
      </c>
      <c r="B185" s="22">
        <v>183000</v>
      </c>
      <c r="C185" s="72">
        <v>1.84</v>
      </c>
      <c r="D185" s="22">
        <v>183000</v>
      </c>
      <c r="E185" s="72">
        <v>18.4</v>
      </c>
      <c r="F185" s="22">
        <v>183000</v>
      </c>
      <c r="G185" s="73">
        <v>184</v>
      </c>
      <c r="H185" s="22">
        <v>183000</v>
      </c>
    </row>
    <row r="186" spans="1:8">
      <c r="A186" s="56">
        <v>185</v>
      </c>
      <c r="B186" s="22">
        <v>184000</v>
      </c>
      <c r="C186" s="72">
        <v>1.85</v>
      </c>
      <c r="D186" s="22">
        <v>184000</v>
      </c>
      <c r="E186" s="72">
        <v>18.5</v>
      </c>
      <c r="F186" s="22">
        <v>184000</v>
      </c>
      <c r="G186" s="73">
        <v>185</v>
      </c>
      <c r="H186" s="22">
        <v>184000</v>
      </c>
    </row>
    <row r="187" spans="1:8">
      <c r="A187" s="56">
        <v>186</v>
      </c>
      <c r="B187" s="22">
        <v>185000</v>
      </c>
      <c r="C187" s="72">
        <v>1.86</v>
      </c>
      <c r="D187" s="22">
        <v>185000</v>
      </c>
      <c r="E187" s="72">
        <v>18.6</v>
      </c>
      <c r="F187" s="22">
        <v>185000</v>
      </c>
      <c r="G187" s="73">
        <v>186</v>
      </c>
      <c r="H187" s="22">
        <v>185000</v>
      </c>
    </row>
    <row r="188" spans="1:8">
      <c r="A188" s="56">
        <v>187</v>
      </c>
      <c r="B188" s="22">
        <v>186000</v>
      </c>
      <c r="C188" s="72">
        <v>1.87</v>
      </c>
      <c r="D188" s="22">
        <v>186000</v>
      </c>
      <c r="E188" s="72">
        <v>18.7</v>
      </c>
      <c r="F188" s="22">
        <v>186000</v>
      </c>
      <c r="G188" s="73">
        <v>187</v>
      </c>
      <c r="H188" s="22">
        <v>186000</v>
      </c>
    </row>
    <row r="189" spans="1:8">
      <c r="A189" s="56">
        <v>188</v>
      </c>
      <c r="B189" s="22">
        <v>187000</v>
      </c>
      <c r="C189" s="72">
        <v>1.88</v>
      </c>
      <c r="D189" s="22">
        <v>187000</v>
      </c>
      <c r="E189" s="72">
        <v>18.8</v>
      </c>
      <c r="F189" s="22">
        <v>187000</v>
      </c>
      <c r="G189" s="73">
        <v>188</v>
      </c>
      <c r="H189" s="22">
        <v>187000</v>
      </c>
    </row>
    <row r="190" spans="1:8">
      <c r="A190" s="56">
        <v>189</v>
      </c>
      <c r="B190" s="22">
        <v>188000</v>
      </c>
      <c r="C190" s="72">
        <v>1.89</v>
      </c>
      <c r="D190" s="22">
        <v>188000</v>
      </c>
      <c r="E190" s="72">
        <v>18.9</v>
      </c>
      <c r="F190" s="22">
        <v>188000</v>
      </c>
      <c r="G190" s="73">
        <v>189</v>
      </c>
      <c r="H190" s="22">
        <v>188000</v>
      </c>
    </row>
    <row r="191" spans="1:8">
      <c r="A191" s="56">
        <v>190</v>
      </c>
      <c r="B191" s="22">
        <v>189000</v>
      </c>
      <c r="C191" s="72">
        <v>1.9</v>
      </c>
      <c r="D191" s="22">
        <v>189000</v>
      </c>
      <c r="E191" s="72">
        <v>19</v>
      </c>
      <c r="F191" s="22">
        <v>189000</v>
      </c>
      <c r="G191" s="73">
        <v>190</v>
      </c>
      <c r="H191" s="22">
        <v>189000</v>
      </c>
    </row>
    <row r="192" spans="1:8">
      <c r="A192" s="56">
        <v>191</v>
      </c>
      <c r="B192" s="22">
        <v>190000</v>
      </c>
      <c r="C192" s="72">
        <v>1.91</v>
      </c>
      <c r="D192" s="22">
        <v>190000</v>
      </c>
      <c r="E192" s="72">
        <v>19.1</v>
      </c>
      <c r="F192" s="22">
        <v>190000</v>
      </c>
      <c r="G192" s="73">
        <v>191</v>
      </c>
      <c r="H192" s="22">
        <v>190000</v>
      </c>
    </row>
    <row r="193" spans="1:8">
      <c r="A193" s="56">
        <v>192</v>
      </c>
      <c r="B193" s="22">
        <v>191000</v>
      </c>
      <c r="C193" s="72">
        <v>1.92</v>
      </c>
      <c r="D193" s="22">
        <v>191000</v>
      </c>
      <c r="E193" s="72">
        <v>19.2</v>
      </c>
      <c r="F193" s="22">
        <v>191000</v>
      </c>
      <c r="G193" s="73">
        <v>192</v>
      </c>
      <c r="H193" s="22">
        <v>191000</v>
      </c>
    </row>
    <row r="194" spans="1:8">
      <c r="A194" s="56">
        <v>193</v>
      </c>
      <c r="B194" s="22">
        <v>192000</v>
      </c>
      <c r="C194" s="72">
        <v>1.93</v>
      </c>
      <c r="D194" s="22">
        <v>192000</v>
      </c>
      <c r="E194" s="72">
        <v>19.3</v>
      </c>
      <c r="F194" s="22">
        <v>192000</v>
      </c>
      <c r="G194" s="73">
        <v>193</v>
      </c>
      <c r="H194" s="22">
        <v>192000</v>
      </c>
    </row>
    <row r="195" spans="1:8">
      <c r="A195" s="56">
        <v>194</v>
      </c>
      <c r="B195" s="22">
        <v>193000</v>
      </c>
      <c r="C195" s="72">
        <v>1.94</v>
      </c>
      <c r="D195" s="22">
        <v>193000</v>
      </c>
      <c r="E195" s="72">
        <v>19.4</v>
      </c>
      <c r="F195" s="22">
        <v>193000</v>
      </c>
      <c r="G195" s="73">
        <v>194</v>
      </c>
      <c r="H195" s="22">
        <v>193000</v>
      </c>
    </row>
    <row r="196" spans="1:8">
      <c r="A196" s="56">
        <v>195</v>
      </c>
      <c r="B196" s="22">
        <v>194000</v>
      </c>
      <c r="C196" s="72">
        <v>1.95</v>
      </c>
      <c r="D196" s="22">
        <v>194000</v>
      </c>
      <c r="E196" s="72">
        <v>19.5</v>
      </c>
      <c r="F196" s="22">
        <v>194000</v>
      </c>
      <c r="G196" s="73">
        <v>195</v>
      </c>
      <c r="H196" s="22">
        <v>194000</v>
      </c>
    </row>
    <row r="197" spans="1:8">
      <c r="A197" s="56">
        <v>196</v>
      </c>
      <c r="B197" s="22">
        <v>195000</v>
      </c>
      <c r="C197" s="72">
        <v>1.96</v>
      </c>
      <c r="D197" s="22">
        <v>195000</v>
      </c>
      <c r="E197" s="72">
        <v>19.6</v>
      </c>
      <c r="F197" s="22">
        <v>195000</v>
      </c>
      <c r="G197" s="73">
        <v>196</v>
      </c>
      <c r="H197" s="22">
        <v>195000</v>
      </c>
    </row>
    <row r="198" spans="1:8">
      <c r="A198" s="56">
        <v>197</v>
      </c>
      <c r="B198" s="22">
        <v>196000</v>
      </c>
      <c r="C198" s="72">
        <v>1.97</v>
      </c>
      <c r="D198" s="22">
        <v>196000</v>
      </c>
      <c r="E198" s="72">
        <v>19.7</v>
      </c>
      <c r="F198" s="22">
        <v>196000</v>
      </c>
      <c r="G198" s="73">
        <v>197</v>
      </c>
      <c r="H198" s="22">
        <v>196000</v>
      </c>
    </row>
    <row r="199" spans="1:8">
      <c r="A199" s="56">
        <v>198</v>
      </c>
      <c r="B199" s="22">
        <v>197000</v>
      </c>
      <c r="C199" s="72">
        <v>1.98</v>
      </c>
      <c r="D199" s="22">
        <v>197000</v>
      </c>
      <c r="E199" s="72">
        <v>19.8</v>
      </c>
      <c r="F199" s="22">
        <v>197000</v>
      </c>
      <c r="G199" s="73">
        <v>198</v>
      </c>
      <c r="H199" s="22">
        <v>197000</v>
      </c>
    </row>
    <row r="200" spans="1:8">
      <c r="A200" s="56">
        <v>199</v>
      </c>
      <c r="B200" s="22">
        <v>198000</v>
      </c>
      <c r="C200" s="72">
        <v>1.99</v>
      </c>
      <c r="D200" s="22">
        <v>198000</v>
      </c>
      <c r="E200" s="72">
        <v>19.9</v>
      </c>
      <c r="F200" s="22">
        <v>198000</v>
      </c>
      <c r="G200" s="73">
        <v>199</v>
      </c>
      <c r="H200" s="22">
        <v>198000</v>
      </c>
    </row>
    <row r="201" spans="1:8">
      <c r="A201" s="56">
        <v>200</v>
      </c>
      <c r="B201" s="22">
        <v>199000</v>
      </c>
      <c r="C201" s="72">
        <v>2</v>
      </c>
      <c r="D201" s="22">
        <v>199000</v>
      </c>
      <c r="E201" s="72">
        <v>20</v>
      </c>
      <c r="F201" s="22">
        <v>199000</v>
      </c>
      <c r="G201" s="73">
        <v>200</v>
      </c>
      <c r="H201" s="22">
        <v>199000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499984740745262"/>
  </sheetPr>
  <dimension ref="A1:M21"/>
  <sheetViews>
    <sheetView zoomScale="115" zoomScaleNormal="115" workbookViewId="0">
      <pane xSplit="3" ySplit="1" topLeftCell="D2" activePane="bottomRight" state="frozen"/>
      <selection/>
      <selection pane="topRight"/>
      <selection pane="bottomLeft"/>
      <selection pane="bottomRight" activeCell="H29" sqref="H29"/>
    </sheetView>
  </sheetViews>
  <sheetFormatPr defaultColWidth="9" defaultRowHeight="13.5"/>
  <cols>
    <col min="1" max="1" width="5.375" style="60" customWidth="1"/>
    <col min="2" max="2" width="14.125" style="61" customWidth="1"/>
    <col min="3" max="3" width="2.875" style="62" customWidth="1"/>
    <col min="4" max="4" width="4" style="63" customWidth="1"/>
    <col min="5" max="6" width="2.875" style="63" customWidth="1"/>
    <col min="7" max="7" width="35.75" style="64" customWidth="1"/>
    <col min="8" max="9" width="5.375" style="65" customWidth="1"/>
    <col min="10" max="13" width="5" style="63" customWidth="1"/>
    <col min="14" max="16384" width="9" style="66"/>
  </cols>
  <sheetData>
    <row r="1" ht="40.5" spans="1:13">
      <c r="A1" s="57" t="s">
        <v>34</v>
      </c>
      <c r="B1" s="57" t="s">
        <v>35</v>
      </c>
      <c r="C1" s="57" t="s">
        <v>36</v>
      </c>
      <c r="D1" s="57" t="s">
        <v>71</v>
      </c>
      <c r="E1" s="57" t="s">
        <v>72</v>
      </c>
      <c r="F1" s="57" t="s">
        <v>73</v>
      </c>
      <c r="G1" s="57" t="s">
        <v>49</v>
      </c>
      <c r="H1" s="57" t="s">
        <v>74</v>
      </c>
      <c r="I1" s="57" t="s">
        <v>75</v>
      </c>
      <c r="J1" s="57" t="s">
        <v>76</v>
      </c>
      <c r="K1" s="57" t="s">
        <v>77</v>
      </c>
      <c r="L1" s="57" t="s">
        <v>78</v>
      </c>
      <c r="M1" s="57" t="s">
        <v>79</v>
      </c>
    </row>
    <row r="2" spans="1:13">
      <c r="A2" s="58">
        <v>1</v>
      </c>
      <c r="B2" s="67" t="s">
        <v>80</v>
      </c>
      <c r="C2" s="68">
        <v>0</v>
      </c>
      <c r="D2" s="69">
        <v>1</v>
      </c>
      <c r="E2" s="70">
        <v>10</v>
      </c>
      <c r="F2" s="70">
        <v>1</v>
      </c>
      <c r="G2" s="59" t="s">
        <v>81</v>
      </c>
      <c r="H2" s="71">
        <v>0</v>
      </c>
      <c r="I2" s="71">
        <v>0</v>
      </c>
      <c r="J2" s="69">
        <v>0</v>
      </c>
      <c r="K2" s="69">
        <v>0</v>
      </c>
      <c r="L2" s="69">
        <v>0</v>
      </c>
      <c r="M2" s="69">
        <v>0</v>
      </c>
    </row>
    <row r="3" spans="1:13">
      <c r="A3" s="58">
        <v>2</v>
      </c>
      <c r="B3" s="67" t="s">
        <v>82</v>
      </c>
      <c r="C3" s="68">
        <v>0</v>
      </c>
      <c r="D3" s="69">
        <v>1</v>
      </c>
      <c r="E3" s="70">
        <v>10</v>
      </c>
      <c r="F3" s="70">
        <v>1</v>
      </c>
      <c r="G3" s="59" t="s">
        <v>81</v>
      </c>
      <c r="H3" s="71">
        <v>0</v>
      </c>
      <c r="I3" s="71">
        <v>0</v>
      </c>
      <c r="J3" s="69">
        <v>0</v>
      </c>
      <c r="K3" s="69">
        <v>0</v>
      </c>
      <c r="L3" s="69">
        <v>0</v>
      </c>
      <c r="M3" s="69">
        <v>0</v>
      </c>
    </row>
    <row r="4" spans="1:13">
      <c r="A4" s="58">
        <v>3</v>
      </c>
      <c r="B4" s="67" t="s">
        <v>83</v>
      </c>
      <c r="C4" s="68">
        <v>0</v>
      </c>
      <c r="D4" s="69">
        <v>1</v>
      </c>
      <c r="E4" s="70">
        <v>10</v>
      </c>
      <c r="F4" s="70">
        <v>1</v>
      </c>
      <c r="G4" s="59" t="s">
        <v>81</v>
      </c>
      <c r="H4" s="71">
        <v>0</v>
      </c>
      <c r="I4" s="71">
        <v>0</v>
      </c>
      <c r="J4" s="69">
        <v>0</v>
      </c>
      <c r="K4" s="69">
        <v>0</v>
      </c>
      <c r="L4" s="69">
        <v>0</v>
      </c>
      <c r="M4" s="69">
        <v>0</v>
      </c>
    </row>
    <row r="5" spans="1:13">
      <c r="A5" s="58">
        <v>4</v>
      </c>
      <c r="B5" s="67" t="s">
        <v>84</v>
      </c>
      <c r="C5" s="68">
        <v>0</v>
      </c>
      <c r="D5" s="69">
        <v>1</v>
      </c>
      <c r="E5" s="70">
        <v>10</v>
      </c>
      <c r="F5" s="70">
        <v>1</v>
      </c>
      <c r="G5" s="59" t="s">
        <v>81</v>
      </c>
      <c r="H5" s="71">
        <v>0</v>
      </c>
      <c r="I5" s="71">
        <v>0</v>
      </c>
      <c r="J5" s="69">
        <v>0</v>
      </c>
      <c r="K5" s="69">
        <v>0</v>
      </c>
      <c r="L5" s="69">
        <v>0</v>
      </c>
      <c r="M5" s="69">
        <v>0</v>
      </c>
    </row>
    <row r="6" spans="1:13">
      <c r="A6" s="58">
        <v>5</v>
      </c>
      <c r="B6" s="67" t="s">
        <v>85</v>
      </c>
      <c r="C6" s="68">
        <v>0</v>
      </c>
      <c r="D6" s="69">
        <v>1</v>
      </c>
      <c r="E6" s="70">
        <v>10</v>
      </c>
      <c r="F6" s="70">
        <v>1</v>
      </c>
      <c r="G6" s="59" t="s">
        <v>81</v>
      </c>
      <c r="H6" s="71">
        <v>0</v>
      </c>
      <c r="I6" s="71">
        <v>0</v>
      </c>
      <c r="J6" s="69">
        <v>0</v>
      </c>
      <c r="K6" s="69">
        <v>0</v>
      </c>
      <c r="L6" s="69">
        <v>0</v>
      </c>
      <c r="M6" s="69">
        <v>0</v>
      </c>
    </row>
    <row r="7" spans="1:13">
      <c r="A7" s="58">
        <v>6</v>
      </c>
      <c r="B7" s="67" t="s">
        <v>86</v>
      </c>
      <c r="C7" s="68">
        <v>0</v>
      </c>
      <c r="D7" s="69">
        <v>1</v>
      </c>
      <c r="E7" s="70">
        <v>10</v>
      </c>
      <c r="F7" s="70">
        <v>1</v>
      </c>
      <c r="G7" s="59" t="s">
        <v>81</v>
      </c>
      <c r="H7" s="71">
        <v>0</v>
      </c>
      <c r="I7" s="71">
        <v>0</v>
      </c>
      <c r="J7" s="69">
        <v>0</v>
      </c>
      <c r="K7" s="69">
        <v>0</v>
      </c>
      <c r="L7" s="69">
        <v>0</v>
      </c>
      <c r="M7" s="69">
        <v>0</v>
      </c>
    </row>
    <row r="8" spans="1:13">
      <c r="A8" s="58">
        <v>1000</v>
      </c>
      <c r="B8" s="67" t="s">
        <v>87</v>
      </c>
      <c r="C8" s="68">
        <v>1</v>
      </c>
      <c r="D8" s="69">
        <v>1</v>
      </c>
      <c r="E8" s="70">
        <v>10</v>
      </c>
      <c r="F8" s="70">
        <v>1</v>
      </c>
      <c r="G8" s="59" t="s">
        <v>88</v>
      </c>
      <c r="H8" s="71">
        <v>3000</v>
      </c>
      <c r="I8" s="71">
        <v>300</v>
      </c>
      <c r="J8" s="69">
        <v>0</v>
      </c>
      <c r="K8" s="69">
        <v>0</v>
      </c>
      <c r="L8" s="69">
        <v>0</v>
      </c>
      <c r="M8" s="69">
        <v>0</v>
      </c>
    </row>
    <row r="9" spans="1:13">
      <c r="A9" s="58">
        <v>1001</v>
      </c>
      <c r="B9" s="67" t="s">
        <v>89</v>
      </c>
      <c r="C9" s="68">
        <v>1</v>
      </c>
      <c r="D9" s="69">
        <v>2</v>
      </c>
      <c r="E9" s="70">
        <v>10</v>
      </c>
      <c r="F9" s="70">
        <v>2</v>
      </c>
      <c r="G9" s="59" t="s">
        <v>90</v>
      </c>
      <c r="H9" s="71">
        <v>30</v>
      </c>
      <c r="I9" s="71">
        <v>3</v>
      </c>
      <c r="J9" s="69">
        <v>10</v>
      </c>
      <c r="K9" s="69">
        <v>0</v>
      </c>
      <c r="L9" s="69">
        <v>0</v>
      </c>
      <c r="M9" s="69">
        <v>0</v>
      </c>
    </row>
    <row r="10" spans="1:13">
      <c r="A10" s="58">
        <v>1002</v>
      </c>
      <c r="B10" s="67" t="s">
        <v>91</v>
      </c>
      <c r="C10" s="68">
        <v>2</v>
      </c>
      <c r="D10" s="69">
        <v>3</v>
      </c>
      <c r="E10" s="70">
        <v>20</v>
      </c>
      <c r="F10" s="70">
        <v>3</v>
      </c>
      <c r="G10" s="59" t="s">
        <v>92</v>
      </c>
      <c r="H10" s="71">
        <v>20</v>
      </c>
      <c r="I10" s="71">
        <v>2</v>
      </c>
      <c r="J10" s="69">
        <v>10</v>
      </c>
      <c r="K10" s="69">
        <v>0</v>
      </c>
      <c r="L10" s="69">
        <v>0</v>
      </c>
      <c r="M10" s="69">
        <v>0</v>
      </c>
    </row>
    <row r="11" spans="1:13">
      <c r="A11" s="58">
        <v>1003</v>
      </c>
      <c r="B11" s="67" t="s">
        <v>93</v>
      </c>
      <c r="C11" s="68">
        <v>2</v>
      </c>
      <c r="D11" s="69">
        <v>4</v>
      </c>
      <c r="E11" s="70">
        <v>20</v>
      </c>
      <c r="F11" s="70">
        <v>4</v>
      </c>
      <c r="G11" s="59" t="s">
        <v>94</v>
      </c>
      <c r="H11" s="71">
        <v>100</v>
      </c>
      <c r="I11" s="71">
        <v>10</v>
      </c>
      <c r="J11" s="69">
        <v>10</v>
      </c>
      <c r="K11" s="69">
        <v>0</v>
      </c>
      <c r="L11" s="69">
        <v>0</v>
      </c>
      <c r="M11" s="69">
        <v>0</v>
      </c>
    </row>
    <row r="12" spans="1:13">
      <c r="A12" s="58">
        <v>1004</v>
      </c>
      <c r="B12" s="67" t="s">
        <v>95</v>
      </c>
      <c r="C12" s="68">
        <v>3</v>
      </c>
      <c r="D12" s="69">
        <v>5</v>
      </c>
      <c r="E12" s="70">
        <v>30</v>
      </c>
      <c r="F12" s="70">
        <v>5</v>
      </c>
      <c r="G12" s="59" t="s">
        <v>96</v>
      </c>
      <c r="H12" s="71">
        <v>100</v>
      </c>
      <c r="I12" s="71">
        <v>10</v>
      </c>
      <c r="J12" s="69">
        <v>10</v>
      </c>
      <c r="K12" s="69">
        <v>0</v>
      </c>
      <c r="L12" s="69">
        <v>0</v>
      </c>
      <c r="M12" s="69">
        <v>0</v>
      </c>
    </row>
    <row r="13" spans="1:13">
      <c r="A13" s="58">
        <v>1005</v>
      </c>
      <c r="B13" s="67" t="s">
        <v>97</v>
      </c>
      <c r="C13" s="68">
        <v>3</v>
      </c>
      <c r="D13" s="69">
        <v>6</v>
      </c>
      <c r="E13" s="70">
        <v>30</v>
      </c>
      <c r="F13" s="70">
        <v>6</v>
      </c>
      <c r="G13" s="59" t="s">
        <v>98</v>
      </c>
      <c r="H13" s="71">
        <v>3</v>
      </c>
      <c r="I13" s="71">
        <v>1</v>
      </c>
      <c r="J13" s="69">
        <v>50</v>
      </c>
      <c r="K13" s="69">
        <v>0</v>
      </c>
      <c r="L13" s="69">
        <v>10</v>
      </c>
      <c r="M13" s="69">
        <v>0</v>
      </c>
    </row>
    <row r="14" spans="1:13">
      <c r="A14" s="58">
        <v>1006</v>
      </c>
      <c r="B14" s="67" t="s">
        <v>99</v>
      </c>
      <c r="C14" s="68">
        <v>4</v>
      </c>
      <c r="D14" s="69">
        <v>1</v>
      </c>
      <c r="E14" s="70">
        <v>10</v>
      </c>
      <c r="F14" s="70">
        <v>1</v>
      </c>
      <c r="G14" s="59" t="s">
        <v>88</v>
      </c>
      <c r="H14" s="71">
        <v>0</v>
      </c>
      <c r="I14" s="71">
        <v>0</v>
      </c>
      <c r="J14" s="69">
        <v>0</v>
      </c>
      <c r="K14" s="69">
        <v>0</v>
      </c>
      <c r="L14" s="69">
        <v>0</v>
      </c>
      <c r="M14" s="69">
        <v>0</v>
      </c>
    </row>
    <row r="15" spans="1:13">
      <c r="A15" s="58">
        <v>1007</v>
      </c>
      <c r="B15" s="67" t="s">
        <v>99</v>
      </c>
      <c r="C15" s="68">
        <v>4</v>
      </c>
      <c r="D15" s="69">
        <v>1</v>
      </c>
      <c r="E15" s="70">
        <v>10</v>
      </c>
      <c r="F15" s="70">
        <v>1</v>
      </c>
      <c r="G15" s="59" t="s">
        <v>88</v>
      </c>
      <c r="H15" s="71">
        <v>0</v>
      </c>
      <c r="I15" s="71">
        <v>0</v>
      </c>
      <c r="J15" s="69">
        <v>0</v>
      </c>
      <c r="K15" s="69">
        <v>0</v>
      </c>
      <c r="L15" s="69">
        <v>0</v>
      </c>
      <c r="M15" s="69">
        <v>0</v>
      </c>
    </row>
    <row r="16" spans="1:13">
      <c r="A16" s="58">
        <v>1008</v>
      </c>
      <c r="B16" s="67" t="s">
        <v>99</v>
      </c>
      <c r="C16" s="68">
        <v>5</v>
      </c>
      <c r="D16" s="69">
        <v>1</v>
      </c>
      <c r="E16" s="70">
        <v>10</v>
      </c>
      <c r="F16" s="70">
        <v>1</v>
      </c>
      <c r="G16" s="59" t="s">
        <v>88</v>
      </c>
      <c r="H16" s="71">
        <v>0</v>
      </c>
      <c r="I16" s="71">
        <v>0</v>
      </c>
      <c r="J16" s="69">
        <v>0</v>
      </c>
      <c r="K16" s="69">
        <v>0</v>
      </c>
      <c r="L16" s="69">
        <v>0</v>
      </c>
      <c r="M16" s="69">
        <v>0</v>
      </c>
    </row>
    <row r="17" spans="1:13">
      <c r="A17" s="58">
        <v>1009</v>
      </c>
      <c r="B17" s="67" t="s">
        <v>99</v>
      </c>
      <c r="C17" s="68">
        <v>5</v>
      </c>
      <c r="D17" s="69">
        <v>1</v>
      </c>
      <c r="E17" s="70">
        <v>10</v>
      </c>
      <c r="F17" s="70">
        <v>1</v>
      </c>
      <c r="G17" s="59" t="s">
        <v>88</v>
      </c>
      <c r="H17" s="71">
        <v>0</v>
      </c>
      <c r="I17" s="71">
        <v>0</v>
      </c>
      <c r="J17" s="69">
        <v>0</v>
      </c>
      <c r="K17" s="69">
        <v>0</v>
      </c>
      <c r="L17" s="69">
        <v>0</v>
      </c>
      <c r="M17" s="69">
        <v>0</v>
      </c>
    </row>
    <row r="18" spans="1:13">
      <c r="A18" s="58">
        <v>1010</v>
      </c>
      <c r="B18" s="67" t="s">
        <v>99</v>
      </c>
      <c r="C18" s="68">
        <v>0</v>
      </c>
      <c r="D18" s="69">
        <v>1</v>
      </c>
      <c r="E18" s="70">
        <v>10</v>
      </c>
      <c r="F18" s="70">
        <v>1</v>
      </c>
      <c r="G18" s="59" t="s">
        <v>88</v>
      </c>
      <c r="H18" s="71">
        <v>0</v>
      </c>
      <c r="I18" s="71">
        <v>0</v>
      </c>
      <c r="J18" s="69">
        <v>0</v>
      </c>
      <c r="K18" s="69">
        <v>0</v>
      </c>
      <c r="L18" s="69">
        <v>0</v>
      </c>
      <c r="M18" s="69">
        <v>0</v>
      </c>
    </row>
    <row r="19" spans="1:13">
      <c r="A19" s="58">
        <v>1011</v>
      </c>
      <c r="B19" s="67" t="s">
        <v>99</v>
      </c>
      <c r="C19" s="68">
        <v>0</v>
      </c>
      <c r="D19" s="69">
        <v>1</v>
      </c>
      <c r="E19" s="70">
        <v>10</v>
      </c>
      <c r="F19" s="70">
        <v>1</v>
      </c>
      <c r="G19" s="59" t="s">
        <v>88</v>
      </c>
      <c r="H19" s="71">
        <v>0</v>
      </c>
      <c r="I19" s="71">
        <v>0</v>
      </c>
      <c r="J19" s="69">
        <v>0</v>
      </c>
      <c r="K19" s="69">
        <v>0</v>
      </c>
      <c r="L19" s="69">
        <v>0</v>
      </c>
      <c r="M19" s="69">
        <v>0</v>
      </c>
    </row>
    <row r="20" spans="1:13">
      <c r="A20" s="58">
        <v>1012</v>
      </c>
      <c r="B20" s="67" t="s">
        <v>99</v>
      </c>
      <c r="C20" s="68">
        <v>0</v>
      </c>
      <c r="D20" s="69">
        <v>1</v>
      </c>
      <c r="E20" s="70">
        <v>10</v>
      </c>
      <c r="F20" s="70">
        <v>1</v>
      </c>
      <c r="G20" s="59" t="s">
        <v>88</v>
      </c>
      <c r="H20" s="71">
        <v>0</v>
      </c>
      <c r="I20" s="71">
        <v>0</v>
      </c>
      <c r="J20" s="69">
        <v>0</v>
      </c>
      <c r="K20" s="69">
        <v>0</v>
      </c>
      <c r="L20" s="69">
        <v>0</v>
      </c>
      <c r="M20" s="69">
        <v>0</v>
      </c>
    </row>
    <row r="21" spans="1:13">
      <c r="A21" s="58">
        <v>1013</v>
      </c>
      <c r="B21" s="67" t="s">
        <v>99</v>
      </c>
      <c r="C21" s="68">
        <v>0</v>
      </c>
      <c r="D21" s="69">
        <v>1</v>
      </c>
      <c r="E21" s="70">
        <v>10</v>
      </c>
      <c r="F21" s="70">
        <v>1</v>
      </c>
      <c r="G21" s="59" t="s">
        <v>88</v>
      </c>
      <c r="H21" s="71">
        <v>0</v>
      </c>
      <c r="I21" s="71">
        <v>0</v>
      </c>
      <c r="J21" s="69">
        <v>0</v>
      </c>
      <c r="K21" s="69">
        <v>0</v>
      </c>
      <c r="L21" s="69">
        <v>0</v>
      </c>
      <c r="M21" s="69">
        <v>0</v>
      </c>
    </row>
  </sheetData>
  <conditionalFormatting sqref="A2:A1048576">
    <cfRule type="duplicateValues" dxfId="26" priority="144"/>
  </conditionalFormatting>
  <conditionalFormatting sqref="B2:B21">
    <cfRule type="expression" dxfId="25" priority="424" stopIfTrue="1">
      <formula>C2=0</formula>
    </cfRule>
    <cfRule type="expression" dxfId="24" priority="425" stopIfTrue="1">
      <formula>C2=1</formula>
    </cfRule>
    <cfRule type="expression" dxfId="23" priority="426" stopIfTrue="1">
      <formula>C2=2</formula>
    </cfRule>
    <cfRule type="expression" dxfId="22" priority="427" stopIfTrue="1">
      <formula>C2=3</formula>
    </cfRule>
    <cfRule type="expression" dxfId="21" priority="428" stopIfTrue="1">
      <formula>C2=4</formula>
    </cfRule>
    <cfRule type="expression" dxfId="27" priority="429" stopIfTrue="1">
      <formula>C2=5</formula>
    </cfRule>
  </conditionalFormatting>
  <conditionalFormatting sqref="C2:C21">
    <cfRule type="cellIs" dxfId="1" priority="10" operator="equal">
      <formula>0</formula>
    </cfRule>
    <cfRule type="cellIs" dxfId="13" priority="9" operator="equal">
      <formula>1</formula>
    </cfRule>
    <cfRule type="cellIs" dxfId="18" priority="8" operator="equal">
      <formula>2</formula>
    </cfRule>
    <cfRule type="cellIs" dxfId="17" priority="7" operator="equal">
      <formula>3</formula>
    </cfRule>
    <cfRule type="cellIs" dxfId="11" priority="6" operator="equal">
      <formula>4</formula>
    </cfRule>
    <cfRule type="cellIs" dxfId="16" priority="5" operator="equal">
      <formula>5</formula>
    </cfRule>
  </conditionalFormatting>
  <conditionalFormatting sqref="H2:I21">
    <cfRule type="colorScale" priority="4">
      <colorScale>
        <cfvo type="min"/>
        <cfvo type="max"/>
        <color theme="2" tint="-0.15"/>
        <color theme="8" tint="-0.25"/>
      </colorScale>
    </cfRule>
    <cfRule type="colorScale" priority="1">
      <colorScale>
        <cfvo type="min"/>
        <cfvo type="max"/>
        <color theme="2" tint="-0.15"/>
        <color theme="8" tint="0.4"/>
      </colorScale>
    </cfRule>
  </conditionalFormatting>
  <conditionalFormatting sqref="J2:K21">
    <cfRule type="colorScale" priority="3">
      <colorScale>
        <cfvo type="min"/>
        <cfvo type="max"/>
        <color theme="2" tint="-0.15"/>
        <color theme="4" tint="0.4"/>
      </colorScale>
    </cfRule>
  </conditionalFormatting>
  <conditionalFormatting sqref="L2:M21">
    <cfRule type="colorScale" priority="2">
      <colorScale>
        <cfvo type="min"/>
        <cfvo type="max"/>
        <color theme="2" tint="-0.15"/>
        <color theme="7" tint="0.4"/>
      </colorScale>
    </cfRule>
  </conditionalFormatting>
  <dataValidations count="2">
    <dataValidation type="list" allowBlank="1" showInputMessage="1" showErrorMessage="1" sqref="C2:C21">
      <formula1>"0,1,2,3,4,5"</formula1>
    </dataValidation>
    <dataValidation type="list" allowBlank="1" showInputMessage="1" showErrorMessage="1" sqref="F2:F21">
      <formula1>DemonSkillEffect!$A:$A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25"/>
  </sheetPr>
  <dimension ref="A1:B7"/>
  <sheetViews>
    <sheetView zoomScale="145" zoomScaleNormal="145" workbookViewId="0">
      <selection activeCell="B9" sqref="B9"/>
    </sheetView>
  </sheetViews>
  <sheetFormatPr defaultColWidth="9" defaultRowHeight="13.5" outlineLevelRow="6" outlineLevelCol="1"/>
  <cols>
    <col min="1" max="1" width="2.875" customWidth="1"/>
    <col min="2" max="2" width="60.9416666666667" customWidth="1"/>
  </cols>
  <sheetData>
    <row r="1" spans="1:2">
      <c r="A1" s="57" t="s">
        <v>34</v>
      </c>
      <c r="B1" s="57" t="s">
        <v>49</v>
      </c>
    </row>
    <row r="2" spans="1:2">
      <c r="A2" s="58">
        <v>1</v>
      </c>
      <c r="B2" s="59" t="s">
        <v>100</v>
      </c>
    </row>
    <row r="3" spans="1:2">
      <c r="A3" s="58">
        <v>2</v>
      </c>
      <c r="B3" s="59" t="s">
        <v>101</v>
      </c>
    </row>
    <row r="4" spans="1:2">
      <c r="A4" s="58">
        <v>3</v>
      </c>
      <c r="B4" s="59" t="s">
        <v>102</v>
      </c>
    </row>
    <row r="5" spans="1:2">
      <c r="A5" s="58">
        <v>4</v>
      </c>
      <c r="B5" s="59" t="s">
        <v>103</v>
      </c>
    </row>
    <row r="6" spans="1:2">
      <c r="A6" s="58">
        <v>5</v>
      </c>
      <c r="B6" s="59" t="s">
        <v>104</v>
      </c>
    </row>
    <row r="7" spans="1:2">
      <c r="A7" s="58">
        <v>6</v>
      </c>
      <c r="B7" s="59" t="s">
        <v>105</v>
      </c>
    </row>
  </sheetData>
  <conditionalFormatting sqref="A2:A7">
    <cfRule type="duplicateValues" dxfId="26" priority="7"/>
  </conditionalFormatting>
  <pageMargins left="0.75" right="0.75" top="1" bottom="1" header="0.511805555555556" footer="0.511805555555556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5"/>
  </sheetPr>
  <dimension ref="A1:M101"/>
  <sheetViews>
    <sheetView zoomScale="130" zoomScaleNormal="130" workbookViewId="0">
      <selection activeCell="D13" sqref="D13"/>
    </sheetView>
  </sheetViews>
  <sheetFormatPr defaultColWidth="9" defaultRowHeight="13.5"/>
  <cols>
    <col min="1" max="1" width="4.375" style="54" customWidth="1"/>
    <col min="2" max="10" width="9.625" style="54" customWidth="1"/>
    <col min="11" max="11" width="11.5" style="54" customWidth="1"/>
    <col min="12" max="12" width="9.625" style="54" customWidth="1"/>
    <col min="13" max="13" width="11.5" style="54" customWidth="1"/>
  </cols>
  <sheetData>
    <row r="1" ht="27" spans="1:13">
      <c r="A1" s="55" t="s">
        <v>63</v>
      </c>
      <c r="B1" s="55" t="s">
        <v>106</v>
      </c>
      <c r="C1" s="55" t="s">
        <v>107</v>
      </c>
      <c r="D1" s="55" t="s">
        <v>108</v>
      </c>
      <c r="E1" s="55" t="s">
        <v>109</v>
      </c>
      <c r="F1" s="55" t="s">
        <v>110</v>
      </c>
      <c r="G1" s="55" t="s">
        <v>111</v>
      </c>
      <c r="H1" s="55" t="s">
        <v>112</v>
      </c>
      <c r="I1" s="55" t="s">
        <v>113</v>
      </c>
      <c r="J1" s="55" t="s">
        <v>114</v>
      </c>
      <c r="K1" s="55" t="s">
        <v>115</v>
      </c>
      <c r="L1" s="55" t="s">
        <v>116</v>
      </c>
      <c r="M1" s="55" t="s">
        <v>117</v>
      </c>
    </row>
    <row r="2" spans="1:13">
      <c r="A2" s="56">
        <v>1</v>
      </c>
      <c r="B2" s="56">
        <v>10</v>
      </c>
      <c r="C2" s="22">
        <v>1000</v>
      </c>
      <c r="D2" s="56">
        <v>50</v>
      </c>
      <c r="E2" s="22">
        <v>5000</v>
      </c>
      <c r="F2" s="56">
        <v>100</v>
      </c>
      <c r="G2" s="22">
        <v>10000</v>
      </c>
      <c r="H2" s="56">
        <v>150</v>
      </c>
      <c r="I2" s="22">
        <v>50000</v>
      </c>
      <c r="J2" s="56">
        <v>200</v>
      </c>
      <c r="K2" s="22">
        <v>1000000</v>
      </c>
      <c r="L2" s="56">
        <v>250</v>
      </c>
      <c r="M2" s="22">
        <v>5000000</v>
      </c>
    </row>
    <row r="3" spans="1:13">
      <c r="A3" s="56">
        <v>2</v>
      </c>
      <c r="B3" s="56">
        <v>20</v>
      </c>
      <c r="C3" s="22">
        <v>2000</v>
      </c>
      <c r="D3" s="56">
        <v>100</v>
      </c>
      <c r="E3" s="22">
        <v>10000</v>
      </c>
      <c r="F3" s="56">
        <v>200</v>
      </c>
      <c r="G3" s="22">
        <v>20000</v>
      </c>
      <c r="H3" s="56">
        <v>300</v>
      </c>
      <c r="I3" s="22">
        <v>100000</v>
      </c>
      <c r="J3" s="56">
        <v>400</v>
      </c>
      <c r="K3" s="22">
        <v>2000000</v>
      </c>
      <c r="L3" s="56">
        <v>500</v>
      </c>
      <c r="M3" s="22">
        <v>10000000</v>
      </c>
    </row>
    <row r="4" spans="1:13">
      <c r="A4" s="56">
        <v>3</v>
      </c>
      <c r="B4" s="56">
        <v>30</v>
      </c>
      <c r="C4" s="22">
        <v>3000</v>
      </c>
      <c r="D4" s="56">
        <v>150</v>
      </c>
      <c r="E4" s="22">
        <v>15000</v>
      </c>
      <c r="F4" s="56">
        <v>300</v>
      </c>
      <c r="G4" s="22">
        <v>30000</v>
      </c>
      <c r="H4" s="56">
        <v>450</v>
      </c>
      <c r="I4" s="22">
        <v>150000</v>
      </c>
      <c r="J4" s="56">
        <v>600</v>
      </c>
      <c r="K4" s="22">
        <v>3000000</v>
      </c>
      <c r="L4" s="56">
        <v>750</v>
      </c>
      <c r="M4" s="22">
        <v>15000000</v>
      </c>
    </row>
    <row r="5" spans="1:13">
      <c r="A5" s="56">
        <v>4</v>
      </c>
      <c r="B5" s="56">
        <v>40</v>
      </c>
      <c r="C5" s="22">
        <v>4000</v>
      </c>
      <c r="D5" s="56">
        <v>200</v>
      </c>
      <c r="E5" s="22">
        <v>20000</v>
      </c>
      <c r="F5" s="56">
        <v>400</v>
      </c>
      <c r="G5" s="22">
        <v>40000</v>
      </c>
      <c r="H5" s="56">
        <v>600</v>
      </c>
      <c r="I5" s="22">
        <v>200000</v>
      </c>
      <c r="J5" s="56">
        <v>800</v>
      </c>
      <c r="K5" s="22">
        <v>4000000</v>
      </c>
      <c r="L5" s="56">
        <v>1000</v>
      </c>
      <c r="M5" s="22">
        <v>20000000</v>
      </c>
    </row>
    <row r="6" spans="1:13">
      <c r="A6" s="56">
        <v>5</v>
      </c>
      <c r="B6" s="56">
        <v>50</v>
      </c>
      <c r="C6" s="22">
        <v>5000</v>
      </c>
      <c r="D6" s="56">
        <v>250</v>
      </c>
      <c r="E6" s="22">
        <v>25000</v>
      </c>
      <c r="F6" s="56">
        <v>500</v>
      </c>
      <c r="G6" s="22">
        <v>50000</v>
      </c>
      <c r="H6" s="56">
        <v>750</v>
      </c>
      <c r="I6" s="22">
        <v>250000</v>
      </c>
      <c r="J6" s="56">
        <v>1000</v>
      </c>
      <c r="K6" s="22">
        <v>5000000</v>
      </c>
      <c r="L6" s="56">
        <v>1250</v>
      </c>
      <c r="M6" s="22">
        <v>25000000</v>
      </c>
    </row>
    <row r="7" spans="1:13">
      <c r="A7" s="56">
        <v>6</v>
      </c>
      <c r="B7" s="56">
        <v>60</v>
      </c>
      <c r="C7" s="22">
        <v>6000</v>
      </c>
      <c r="D7" s="56">
        <v>300</v>
      </c>
      <c r="E7" s="22">
        <v>30000</v>
      </c>
      <c r="F7" s="56">
        <v>600</v>
      </c>
      <c r="G7" s="22">
        <v>60000</v>
      </c>
      <c r="H7" s="56">
        <v>900</v>
      </c>
      <c r="I7" s="22">
        <v>300000</v>
      </c>
      <c r="J7" s="56">
        <v>1200</v>
      </c>
      <c r="K7" s="22">
        <v>6000000</v>
      </c>
      <c r="L7" s="56">
        <v>1500</v>
      </c>
      <c r="M7" s="22">
        <v>30000000</v>
      </c>
    </row>
    <row r="8" spans="1:13">
      <c r="A8" s="56">
        <v>7</v>
      </c>
      <c r="B8" s="56">
        <v>70</v>
      </c>
      <c r="C8" s="22">
        <v>7000</v>
      </c>
      <c r="D8" s="56">
        <v>350</v>
      </c>
      <c r="E8" s="22">
        <v>35000</v>
      </c>
      <c r="F8" s="56">
        <v>700</v>
      </c>
      <c r="G8" s="22">
        <v>70000</v>
      </c>
      <c r="H8" s="56">
        <v>1050</v>
      </c>
      <c r="I8" s="22">
        <v>350000</v>
      </c>
      <c r="J8" s="56">
        <v>1400</v>
      </c>
      <c r="K8" s="22">
        <v>7000000</v>
      </c>
      <c r="L8" s="56">
        <v>1750</v>
      </c>
      <c r="M8" s="22">
        <v>35000000</v>
      </c>
    </row>
    <row r="9" spans="1:13">
      <c r="A9" s="56">
        <v>8</v>
      </c>
      <c r="B9" s="56">
        <v>80</v>
      </c>
      <c r="C9" s="22">
        <v>8000</v>
      </c>
      <c r="D9" s="56">
        <v>400</v>
      </c>
      <c r="E9" s="22">
        <v>40000</v>
      </c>
      <c r="F9" s="56">
        <v>800</v>
      </c>
      <c r="G9" s="22">
        <v>80000</v>
      </c>
      <c r="H9" s="56">
        <v>1200</v>
      </c>
      <c r="I9" s="22">
        <v>400000</v>
      </c>
      <c r="J9" s="56">
        <v>1600</v>
      </c>
      <c r="K9" s="22">
        <v>8000000</v>
      </c>
      <c r="L9" s="56">
        <v>2000</v>
      </c>
      <c r="M9" s="22">
        <v>40000000</v>
      </c>
    </row>
    <row r="10" spans="1:13">
      <c r="A10" s="56">
        <v>9</v>
      </c>
      <c r="B10" s="56">
        <v>90</v>
      </c>
      <c r="C10" s="22">
        <v>9000</v>
      </c>
      <c r="D10" s="56">
        <v>450</v>
      </c>
      <c r="E10" s="22">
        <v>45000</v>
      </c>
      <c r="F10" s="56">
        <v>900</v>
      </c>
      <c r="G10" s="22">
        <v>90000</v>
      </c>
      <c r="H10" s="56">
        <v>1350</v>
      </c>
      <c r="I10" s="22">
        <v>450000</v>
      </c>
      <c r="J10" s="56">
        <v>1800</v>
      </c>
      <c r="K10" s="22">
        <v>9000000</v>
      </c>
      <c r="L10" s="56">
        <v>2250</v>
      </c>
      <c r="M10" s="22">
        <v>45000000</v>
      </c>
    </row>
    <row r="11" spans="1:13">
      <c r="A11" s="56">
        <v>10</v>
      </c>
      <c r="B11" s="56">
        <v>100</v>
      </c>
      <c r="C11" s="22">
        <v>10000</v>
      </c>
      <c r="D11" s="56">
        <v>500</v>
      </c>
      <c r="E11" s="22">
        <v>50000</v>
      </c>
      <c r="F11" s="56">
        <v>1000</v>
      </c>
      <c r="G11" s="22">
        <v>100000</v>
      </c>
      <c r="H11" s="56">
        <v>1500</v>
      </c>
      <c r="I11" s="22">
        <v>500000</v>
      </c>
      <c r="J11" s="56">
        <v>2000</v>
      </c>
      <c r="K11" s="22">
        <v>10000000</v>
      </c>
      <c r="L11" s="56">
        <v>2500</v>
      </c>
      <c r="M11" s="22">
        <v>50000000</v>
      </c>
    </row>
    <row r="12" spans="1:13">
      <c r="A12" s="56">
        <v>11</v>
      </c>
      <c r="B12" s="56">
        <v>110</v>
      </c>
      <c r="C12" s="22">
        <v>11000</v>
      </c>
      <c r="D12" s="56">
        <v>550</v>
      </c>
      <c r="E12" s="22">
        <v>55000</v>
      </c>
      <c r="F12" s="56">
        <v>1100</v>
      </c>
      <c r="G12" s="22">
        <v>110000</v>
      </c>
      <c r="H12" s="56">
        <v>1650</v>
      </c>
      <c r="I12" s="22">
        <v>550000</v>
      </c>
      <c r="J12" s="56">
        <v>2200</v>
      </c>
      <c r="K12" s="22">
        <v>11000000</v>
      </c>
      <c r="L12" s="56">
        <v>2750</v>
      </c>
      <c r="M12" s="22">
        <v>55000000</v>
      </c>
    </row>
    <row r="13" spans="1:13">
      <c r="A13" s="56">
        <v>12</v>
      </c>
      <c r="B13" s="56">
        <v>120</v>
      </c>
      <c r="C13" s="22">
        <v>12000</v>
      </c>
      <c r="D13" s="56">
        <v>600</v>
      </c>
      <c r="E13" s="22">
        <v>60000</v>
      </c>
      <c r="F13" s="56">
        <v>1200</v>
      </c>
      <c r="G13" s="22">
        <v>120000</v>
      </c>
      <c r="H13" s="56">
        <v>1800</v>
      </c>
      <c r="I13" s="22">
        <v>600000</v>
      </c>
      <c r="J13" s="56">
        <v>2400</v>
      </c>
      <c r="K13" s="22">
        <v>12000000</v>
      </c>
      <c r="L13" s="56">
        <v>3000</v>
      </c>
      <c r="M13" s="22">
        <v>60000000</v>
      </c>
    </row>
    <row r="14" spans="1:13">
      <c r="A14" s="56">
        <v>13</v>
      </c>
      <c r="B14" s="56">
        <v>130</v>
      </c>
      <c r="C14" s="22">
        <v>13000</v>
      </c>
      <c r="D14" s="56">
        <v>650</v>
      </c>
      <c r="E14" s="22">
        <v>65000</v>
      </c>
      <c r="F14" s="56">
        <v>1300</v>
      </c>
      <c r="G14" s="22">
        <v>130000</v>
      </c>
      <c r="H14" s="56">
        <v>1950</v>
      </c>
      <c r="I14" s="22">
        <v>650000</v>
      </c>
      <c r="J14" s="56">
        <v>2600</v>
      </c>
      <c r="K14" s="22">
        <v>13000000</v>
      </c>
      <c r="L14" s="56">
        <v>3250</v>
      </c>
      <c r="M14" s="22">
        <v>65000000</v>
      </c>
    </row>
    <row r="15" spans="1:13">
      <c r="A15" s="56">
        <v>14</v>
      </c>
      <c r="B15" s="56">
        <v>140</v>
      </c>
      <c r="C15" s="22">
        <v>14000</v>
      </c>
      <c r="D15" s="56">
        <v>700</v>
      </c>
      <c r="E15" s="22">
        <v>70000</v>
      </c>
      <c r="F15" s="56">
        <v>1400</v>
      </c>
      <c r="G15" s="22">
        <v>140000</v>
      </c>
      <c r="H15" s="56">
        <v>2100</v>
      </c>
      <c r="I15" s="22">
        <v>700000</v>
      </c>
      <c r="J15" s="56">
        <v>2800</v>
      </c>
      <c r="K15" s="22">
        <v>14000000</v>
      </c>
      <c r="L15" s="56">
        <v>3500</v>
      </c>
      <c r="M15" s="22">
        <v>70000000</v>
      </c>
    </row>
    <row r="16" spans="1:13">
      <c r="A16" s="56">
        <v>15</v>
      </c>
      <c r="B16" s="56">
        <v>150</v>
      </c>
      <c r="C16" s="22">
        <v>15000</v>
      </c>
      <c r="D16" s="56">
        <v>750</v>
      </c>
      <c r="E16" s="22">
        <v>75000</v>
      </c>
      <c r="F16" s="56">
        <v>1500</v>
      </c>
      <c r="G16" s="22">
        <v>150000</v>
      </c>
      <c r="H16" s="56">
        <v>2250</v>
      </c>
      <c r="I16" s="22">
        <v>750000</v>
      </c>
      <c r="J16" s="56">
        <v>3000</v>
      </c>
      <c r="K16" s="22">
        <v>15000000</v>
      </c>
      <c r="L16" s="56">
        <v>3750</v>
      </c>
      <c r="M16" s="22">
        <v>75000000</v>
      </c>
    </row>
    <row r="17" spans="1:13">
      <c r="A17" s="56">
        <v>16</v>
      </c>
      <c r="B17" s="56">
        <v>160</v>
      </c>
      <c r="C17" s="22">
        <v>16000</v>
      </c>
      <c r="D17" s="56">
        <v>800</v>
      </c>
      <c r="E17" s="22">
        <v>80000</v>
      </c>
      <c r="F17" s="56">
        <v>1600</v>
      </c>
      <c r="G17" s="22">
        <v>160000</v>
      </c>
      <c r="H17" s="56">
        <v>2400</v>
      </c>
      <c r="I17" s="22">
        <v>800000</v>
      </c>
      <c r="J17" s="56">
        <v>3200</v>
      </c>
      <c r="K17" s="22">
        <v>16000000</v>
      </c>
      <c r="L17" s="56">
        <v>4000</v>
      </c>
      <c r="M17" s="22">
        <v>80000000</v>
      </c>
    </row>
    <row r="18" spans="1:13">
      <c r="A18" s="56">
        <v>17</v>
      </c>
      <c r="B18" s="56">
        <v>170</v>
      </c>
      <c r="C18" s="22">
        <v>17000</v>
      </c>
      <c r="D18" s="56">
        <v>850</v>
      </c>
      <c r="E18" s="22">
        <v>85000</v>
      </c>
      <c r="F18" s="56">
        <v>1700</v>
      </c>
      <c r="G18" s="22">
        <v>170000</v>
      </c>
      <c r="H18" s="56">
        <v>2550</v>
      </c>
      <c r="I18" s="22">
        <v>850000</v>
      </c>
      <c r="J18" s="56">
        <v>3400</v>
      </c>
      <c r="K18" s="22">
        <v>17000000</v>
      </c>
      <c r="L18" s="56">
        <v>4250</v>
      </c>
      <c r="M18" s="22">
        <v>85000000</v>
      </c>
    </row>
    <row r="19" spans="1:13">
      <c r="A19" s="56">
        <v>18</v>
      </c>
      <c r="B19" s="56">
        <v>180</v>
      </c>
      <c r="C19" s="22">
        <v>18000</v>
      </c>
      <c r="D19" s="56">
        <v>900</v>
      </c>
      <c r="E19" s="22">
        <v>90000</v>
      </c>
      <c r="F19" s="56">
        <v>1800</v>
      </c>
      <c r="G19" s="22">
        <v>180000</v>
      </c>
      <c r="H19" s="56">
        <v>2700</v>
      </c>
      <c r="I19" s="22">
        <v>900000</v>
      </c>
      <c r="J19" s="56">
        <v>3600</v>
      </c>
      <c r="K19" s="22">
        <v>18000000</v>
      </c>
      <c r="L19" s="56">
        <v>4500</v>
      </c>
      <c r="M19" s="22">
        <v>90000000</v>
      </c>
    </row>
    <row r="20" spans="1:13">
      <c r="A20" s="56">
        <v>19</v>
      </c>
      <c r="B20" s="56">
        <v>190</v>
      </c>
      <c r="C20" s="22">
        <v>19000</v>
      </c>
      <c r="D20" s="56">
        <v>950</v>
      </c>
      <c r="E20" s="22">
        <v>95000</v>
      </c>
      <c r="F20" s="56">
        <v>1900</v>
      </c>
      <c r="G20" s="22">
        <v>190000</v>
      </c>
      <c r="H20" s="56">
        <v>2850</v>
      </c>
      <c r="I20" s="22">
        <v>950000</v>
      </c>
      <c r="J20" s="56">
        <v>3800</v>
      </c>
      <c r="K20" s="22">
        <v>19000000</v>
      </c>
      <c r="L20" s="56">
        <v>4750</v>
      </c>
      <c r="M20" s="22">
        <v>95000000</v>
      </c>
    </row>
    <row r="21" spans="1:13">
      <c r="A21" s="56">
        <v>20</v>
      </c>
      <c r="B21" s="56">
        <v>200</v>
      </c>
      <c r="C21" s="22">
        <v>20000</v>
      </c>
      <c r="D21" s="56">
        <v>1000</v>
      </c>
      <c r="E21" s="22">
        <v>100000</v>
      </c>
      <c r="F21" s="56">
        <v>2000</v>
      </c>
      <c r="G21" s="22">
        <v>200000</v>
      </c>
      <c r="H21" s="56">
        <v>3000</v>
      </c>
      <c r="I21" s="22">
        <v>1000000</v>
      </c>
      <c r="J21" s="56">
        <v>4000</v>
      </c>
      <c r="K21" s="22">
        <v>20000000</v>
      </c>
      <c r="L21" s="56">
        <v>5000</v>
      </c>
      <c r="M21" s="22">
        <v>100000000</v>
      </c>
    </row>
    <row r="22" spans="1:13">
      <c r="A22" s="56">
        <v>21</v>
      </c>
      <c r="B22" s="56">
        <v>210</v>
      </c>
      <c r="C22" s="22">
        <v>21000</v>
      </c>
      <c r="D22" s="56">
        <v>1050</v>
      </c>
      <c r="E22" s="22">
        <v>105000</v>
      </c>
      <c r="F22" s="56">
        <v>2100</v>
      </c>
      <c r="G22" s="22">
        <v>210000</v>
      </c>
      <c r="H22" s="56">
        <v>3150</v>
      </c>
      <c r="I22" s="22">
        <v>1050000</v>
      </c>
      <c r="J22" s="56">
        <v>4200</v>
      </c>
      <c r="K22" s="22">
        <v>21000000</v>
      </c>
      <c r="L22" s="56">
        <v>5250</v>
      </c>
      <c r="M22" s="22">
        <v>105000000</v>
      </c>
    </row>
    <row r="23" spans="1:13">
      <c r="A23" s="56">
        <v>22</v>
      </c>
      <c r="B23" s="56">
        <v>220</v>
      </c>
      <c r="C23" s="22">
        <v>22000</v>
      </c>
      <c r="D23" s="56">
        <v>1100</v>
      </c>
      <c r="E23" s="22">
        <v>110000</v>
      </c>
      <c r="F23" s="56">
        <v>2200</v>
      </c>
      <c r="G23" s="22">
        <v>220000</v>
      </c>
      <c r="H23" s="56">
        <v>3300</v>
      </c>
      <c r="I23" s="22">
        <v>1100000</v>
      </c>
      <c r="J23" s="56">
        <v>4400</v>
      </c>
      <c r="K23" s="22">
        <v>22000000</v>
      </c>
      <c r="L23" s="56">
        <v>5500</v>
      </c>
      <c r="M23" s="22">
        <v>110000000</v>
      </c>
    </row>
    <row r="24" spans="1:13">
      <c r="A24" s="56">
        <v>23</v>
      </c>
      <c r="B24" s="56">
        <v>230</v>
      </c>
      <c r="C24" s="22">
        <v>23000</v>
      </c>
      <c r="D24" s="56">
        <v>1150</v>
      </c>
      <c r="E24" s="22">
        <v>115000</v>
      </c>
      <c r="F24" s="56">
        <v>2300</v>
      </c>
      <c r="G24" s="22">
        <v>230000</v>
      </c>
      <c r="H24" s="56">
        <v>3450</v>
      </c>
      <c r="I24" s="22">
        <v>1150000</v>
      </c>
      <c r="J24" s="56">
        <v>4600</v>
      </c>
      <c r="K24" s="22">
        <v>23000000</v>
      </c>
      <c r="L24" s="56">
        <v>5750</v>
      </c>
      <c r="M24" s="22">
        <v>115000000</v>
      </c>
    </row>
    <row r="25" spans="1:13">
      <c r="A25" s="56">
        <v>24</v>
      </c>
      <c r="B25" s="56">
        <v>240</v>
      </c>
      <c r="C25" s="22">
        <v>24000</v>
      </c>
      <c r="D25" s="56">
        <v>1200</v>
      </c>
      <c r="E25" s="22">
        <v>120000</v>
      </c>
      <c r="F25" s="56">
        <v>2400</v>
      </c>
      <c r="G25" s="22">
        <v>240000</v>
      </c>
      <c r="H25" s="56">
        <v>3600</v>
      </c>
      <c r="I25" s="22">
        <v>1200000</v>
      </c>
      <c r="J25" s="56">
        <v>4800</v>
      </c>
      <c r="K25" s="22">
        <v>24000000</v>
      </c>
      <c r="L25" s="56">
        <v>6000</v>
      </c>
      <c r="M25" s="22">
        <v>120000000</v>
      </c>
    </row>
    <row r="26" spans="1:13">
      <c r="A26" s="56">
        <v>25</v>
      </c>
      <c r="B26" s="56">
        <v>250</v>
      </c>
      <c r="C26" s="22">
        <v>25000</v>
      </c>
      <c r="D26" s="56">
        <v>1250</v>
      </c>
      <c r="E26" s="22">
        <v>125000</v>
      </c>
      <c r="F26" s="56">
        <v>2500</v>
      </c>
      <c r="G26" s="22">
        <v>250000</v>
      </c>
      <c r="H26" s="56">
        <v>3750</v>
      </c>
      <c r="I26" s="22">
        <v>1250000</v>
      </c>
      <c r="J26" s="56">
        <v>5000</v>
      </c>
      <c r="K26" s="22">
        <v>25000000</v>
      </c>
      <c r="L26" s="56">
        <v>6250</v>
      </c>
      <c r="M26" s="22">
        <v>125000000</v>
      </c>
    </row>
    <row r="27" spans="1:13">
      <c r="A27" s="56">
        <v>26</v>
      </c>
      <c r="B27" s="56">
        <v>260</v>
      </c>
      <c r="C27" s="22">
        <v>26000</v>
      </c>
      <c r="D27" s="56">
        <v>1300</v>
      </c>
      <c r="E27" s="22">
        <v>130000</v>
      </c>
      <c r="F27" s="56">
        <v>2600</v>
      </c>
      <c r="G27" s="22">
        <v>260000</v>
      </c>
      <c r="H27" s="56">
        <v>3900</v>
      </c>
      <c r="I27" s="22">
        <v>1300000</v>
      </c>
      <c r="J27" s="56">
        <v>5200</v>
      </c>
      <c r="K27" s="22">
        <v>26000000</v>
      </c>
      <c r="L27" s="56">
        <v>6500</v>
      </c>
      <c r="M27" s="22">
        <v>130000000</v>
      </c>
    </row>
    <row r="28" spans="1:13">
      <c r="A28" s="56">
        <v>27</v>
      </c>
      <c r="B28" s="56">
        <v>270</v>
      </c>
      <c r="C28" s="22">
        <v>27000</v>
      </c>
      <c r="D28" s="56">
        <v>1350</v>
      </c>
      <c r="E28" s="22">
        <v>135000</v>
      </c>
      <c r="F28" s="56">
        <v>2700</v>
      </c>
      <c r="G28" s="22">
        <v>270000</v>
      </c>
      <c r="H28" s="56">
        <v>4050</v>
      </c>
      <c r="I28" s="22">
        <v>1350000</v>
      </c>
      <c r="J28" s="56">
        <v>5400</v>
      </c>
      <c r="K28" s="22">
        <v>27000000</v>
      </c>
      <c r="L28" s="56">
        <v>6750</v>
      </c>
      <c r="M28" s="22">
        <v>135000000</v>
      </c>
    </row>
    <row r="29" spans="1:13">
      <c r="A29" s="56">
        <v>28</v>
      </c>
      <c r="B29" s="56">
        <v>280</v>
      </c>
      <c r="C29" s="22">
        <v>28000</v>
      </c>
      <c r="D29" s="56">
        <v>1400</v>
      </c>
      <c r="E29" s="22">
        <v>140000</v>
      </c>
      <c r="F29" s="56">
        <v>2800</v>
      </c>
      <c r="G29" s="22">
        <v>280000</v>
      </c>
      <c r="H29" s="56">
        <v>4200</v>
      </c>
      <c r="I29" s="22">
        <v>1400000</v>
      </c>
      <c r="J29" s="56">
        <v>5600</v>
      </c>
      <c r="K29" s="22">
        <v>28000000</v>
      </c>
      <c r="L29" s="56">
        <v>7000</v>
      </c>
      <c r="M29" s="22">
        <v>140000000</v>
      </c>
    </row>
    <row r="30" spans="1:13">
      <c r="A30" s="56">
        <v>29</v>
      </c>
      <c r="B30" s="56">
        <v>290</v>
      </c>
      <c r="C30" s="22">
        <v>29000</v>
      </c>
      <c r="D30" s="56">
        <v>1450</v>
      </c>
      <c r="E30" s="22">
        <v>145000</v>
      </c>
      <c r="F30" s="56">
        <v>2900</v>
      </c>
      <c r="G30" s="22">
        <v>290000</v>
      </c>
      <c r="H30" s="56">
        <v>4350</v>
      </c>
      <c r="I30" s="22">
        <v>1450000</v>
      </c>
      <c r="J30" s="56">
        <v>5800</v>
      </c>
      <c r="K30" s="22">
        <v>29000000</v>
      </c>
      <c r="L30" s="56">
        <v>7250</v>
      </c>
      <c r="M30" s="22">
        <v>145000000</v>
      </c>
    </row>
    <row r="31" spans="1:13">
      <c r="A31" s="56">
        <v>30</v>
      </c>
      <c r="B31" s="56">
        <v>300</v>
      </c>
      <c r="C31" s="22">
        <v>30000</v>
      </c>
      <c r="D31" s="56">
        <v>1500</v>
      </c>
      <c r="E31" s="22">
        <v>150000</v>
      </c>
      <c r="F31" s="56">
        <v>3000</v>
      </c>
      <c r="G31" s="22">
        <v>300000</v>
      </c>
      <c r="H31" s="56">
        <v>4500</v>
      </c>
      <c r="I31" s="22">
        <v>1500000</v>
      </c>
      <c r="J31" s="56">
        <v>6000</v>
      </c>
      <c r="K31" s="22">
        <v>30000000</v>
      </c>
      <c r="L31" s="56">
        <v>7500</v>
      </c>
      <c r="M31" s="22">
        <v>150000000</v>
      </c>
    </row>
    <row r="32" spans="1:13">
      <c r="A32" s="56">
        <v>31</v>
      </c>
      <c r="B32" s="56">
        <v>310</v>
      </c>
      <c r="C32" s="22">
        <v>31000</v>
      </c>
      <c r="D32" s="56">
        <v>1550</v>
      </c>
      <c r="E32" s="22">
        <v>155000</v>
      </c>
      <c r="F32" s="56">
        <v>3100</v>
      </c>
      <c r="G32" s="22">
        <v>310000</v>
      </c>
      <c r="H32" s="56">
        <v>4650</v>
      </c>
      <c r="I32" s="22">
        <v>1550000</v>
      </c>
      <c r="J32" s="56">
        <v>6200</v>
      </c>
      <c r="K32" s="22">
        <v>31000000</v>
      </c>
      <c r="L32" s="56">
        <v>7750</v>
      </c>
      <c r="M32" s="22">
        <v>155000000</v>
      </c>
    </row>
    <row r="33" spans="1:13">
      <c r="A33" s="56">
        <v>32</v>
      </c>
      <c r="B33" s="56">
        <v>320</v>
      </c>
      <c r="C33" s="22">
        <v>32000</v>
      </c>
      <c r="D33" s="56">
        <v>1600</v>
      </c>
      <c r="E33" s="22">
        <v>160000</v>
      </c>
      <c r="F33" s="56">
        <v>3200</v>
      </c>
      <c r="G33" s="22">
        <v>320000</v>
      </c>
      <c r="H33" s="56">
        <v>4800</v>
      </c>
      <c r="I33" s="22">
        <v>1600000</v>
      </c>
      <c r="J33" s="56">
        <v>6400</v>
      </c>
      <c r="K33" s="22">
        <v>32000000</v>
      </c>
      <c r="L33" s="56">
        <v>8000</v>
      </c>
      <c r="M33" s="22">
        <v>160000000</v>
      </c>
    </row>
    <row r="34" spans="1:13">
      <c r="A34" s="56">
        <v>33</v>
      </c>
      <c r="B34" s="56">
        <v>330</v>
      </c>
      <c r="C34" s="22">
        <v>33000</v>
      </c>
      <c r="D34" s="56">
        <v>1650</v>
      </c>
      <c r="E34" s="22">
        <v>165000</v>
      </c>
      <c r="F34" s="56">
        <v>3300</v>
      </c>
      <c r="G34" s="22">
        <v>330000</v>
      </c>
      <c r="H34" s="56">
        <v>4950</v>
      </c>
      <c r="I34" s="22">
        <v>1650000</v>
      </c>
      <c r="J34" s="56">
        <v>6600</v>
      </c>
      <c r="K34" s="22">
        <v>33000000</v>
      </c>
      <c r="L34" s="56">
        <v>8250</v>
      </c>
      <c r="M34" s="22">
        <v>165000000</v>
      </c>
    </row>
    <row r="35" spans="1:13">
      <c r="A35" s="56">
        <v>34</v>
      </c>
      <c r="B35" s="56">
        <v>340</v>
      </c>
      <c r="C35" s="22">
        <v>34000</v>
      </c>
      <c r="D35" s="56">
        <v>1700</v>
      </c>
      <c r="E35" s="22">
        <v>170000</v>
      </c>
      <c r="F35" s="56">
        <v>3400</v>
      </c>
      <c r="G35" s="22">
        <v>340000</v>
      </c>
      <c r="H35" s="56">
        <v>5100</v>
      </c>
      <c r="I35" s="22">
        <v>1700000</v>
      </c>
      <c r="J35" s="56">
        <v>6800</v>
      </c>
      <c r="K35" s="22">
        <v>34000000</v>
      </c>
      <c r="L35" s="56">
        <v>8500</v>
      </c>
      <c r="M35" s="22">
        <v>170000000</v>
      </c>
    </row>
    <row r="36" spans="1:13">
      <c r="A36" s="56">
        <v>35</v>
      </c>
      <c r="B36" s="56">
        <v>350</v>
      </c>
      <c r="C36" s="22">
        <v>35000</v>
      </c>
      <c r="D36" s="56">
        <v>1750</v>
      </c>
      <c r="E36" s="22">
        <v>175000</v>
      </c>
      <c r="F36" s="56">
        <v>3500</v>
      </c>
      <c r="G36" s="22">
        <v>350000</v>
      </c>
      <c r="H36" s="56">
        <v>5250</v>
      </c>
      <c r="I36" s="22">
        <v>1750000</v>
      </c>
      <c r="J36" s="56">
        <v>7000</v>
      </c>
      <c r="K36" s="22">
        <v>35000000</v>
      </c>
      <c r="L36" s="56">
        <v>8750</v>
      </c>
      <c r="M36" s="22">
        <v>175000000</v>
      </c>
    </row>
    <row r="37" spans="1:13">
      <c r="A37" s="56">
        <v>36</v>
      </c>
      <c r="B37" s="56">
        <v>360</v>
      </c>
      <c r="C37" s="22">
        <v>36000</v>
      </c>
      <c r="D37" s="56">
        <v>1800</v>
      </c>
      <c r="E37" s="22">
        <v>180000</v>
      </c>
      <c r="F37" s="56">
        <v>3600</v>
      </c>
      <c r="G37" s="22">
        <v>360000</v>
      </c>
      <c r="H37" s="56">
        <v>5400</v>
      </c>
      <c r="I37" s="22">
        <v>1800000</v>
      </c>
      <c r="J37" s="56">
        <v>7200</v>
      </c>
      <c r="K37" s="22">
        <v>36000000</v>
      </c>
      <c r="L37" s="56">
        <v>9000</v>
      </c>
      <c r="M37" s="22">
        <v>180000000</v>
      </c>
    </row>
    <row r="38" spans="1:13">
      <c r="A38" s="56">
        <v>37</v>
      </c>
      <c r="B38" s="56">
        <v>370</v>
      </c>
      <c r="C38" s="22">
        <v>37000</v>
      </c>
      <c r="D38" s="56">
        <v>1850</v>
      </c>
      <c r="E38" s="22">
        <v>185000</v>
      </c>
      <c r="F38" s="56">
        <v>3700</v>
      </c>
      <c r="G38" s="22">
        <v>370000</v>
      </c>
      <c r="H38" s="56">
        <v>5550</v>
      </c>
      <c r="I38" s="22">
        <v>1850000</v>
      </c>
      <c r="J38" s="56">
        <v>7400</v>
      </c>
      <c r="K38" s="22">
        <v>37000000</v>
      </c>
      <c r="L38" s="56">
        <v>9250</v>
      </c>
      <c r="M38" s="22">
        <v>185000000</v>
      </c>
    </row>
    <row r="39" spans="1:13">
      <c r="A39" s="56">
        <v>38</v>
      </c>
      <c r="B39" s="56">
        <v>380</v>
      </c>
      <c r="C39" s="22">
        <v>38000</v>
      </c>
      <c r="D39" s="56">
        <v>1900</v>
      </c>
      <c r="E39" s="22">
        <v>190000</v>
      </c>
      <c r="F39" s="56">
        <v>3800</v>
      </c>
      <c r="G39" s="22">
        <v>380000</v>
      </c>
      <c r="H39" s="56">
        <v>5700</v>
      </c>
      <c r="I39" s="22">
        <v>1900000</v>
      </c>
      <c r="J39" s="56">
        <v>7600</v>
      </c>
      <c r="K39" s="22">
        <v>38000000</v>
      </c>
      <c r="L39" s="56">
        <v>9500</v>
      </c>
      <c r="M39" s="22">
        <v>190000000</v>
      </c>
    </row>
    <row r="40" spans="1:13">
      <c r="A40" s="56">
        <v>39</v>
      </c>
      <c r="B40" s="56">
        <v>390</v>
      </c>
      <c r="C40" s="22">
        <v>39000</v>
      </c>
      <c r="D40" s="56">
        <v>1950</v>
      </c>
      <c r="E40" s="22">
        <v>195000</v>
      </c>
      <c r="F40" s="56">
        <v>3900</v>
      </c>
      <c r="G40" s="22">
        <v>390000</v>
      </c>
      <c r="H40" s="56">
        <v>5850</v>
      </c>
      <c r="I40" s="22">
        <v>1950000</v>
      </c>
      <c r="J40" s="56">
        <v>7800</v>
      </c>
      <c r="K40" s="22">
        <v>39000000</v>
      </c>
      <c r="L40" s="56">
        <v>9750</v>
      </c>
      <c r="M40" s="22">
        <v>195000000</v>
      </c>
    </row>
    <row r="41" spans="1:13">
      <c r="A41" s="56">
        <v>40</v>
      </c>
      <c r="B41" s="56">
        <v>400</v>
      </c>
      <c r="C41" s="22">
        <v>40000</v>
      </c>
      <c r="D41" s="56">
        <v>2000</v>
      </c>
      <c r="E41" s="22">
        <v>200000</v>
      </c>
      <c r="F41" s="56">
        <v>4000</v>
      </c>
      <c r="G41" s="22">
        <v>400000</v>
      </c>
      <c r="H41" s="56">
        <v>6000</v>
      </c>
      <c r="I41" s="22">
        <v>2000000</v>
      </c>
      <c r="J41" s="56">
        <v>8000</v>
      </c>
      <c r="K41" s="22">
        <v>40000000</v>
      </c>
      <c r="L41" s="56">
        <v>10000</v>
      </c>
      <c r="M41" s="22">
        <v>200000000</v>
      </c>
    </row>
    <row r="42" spans="1:13">
      <c r="A42" s="56">
        <v>41</v>
      </c>
      <c r="B42" s="56">
        <v>410</v>
      </c>
      <c r="C42" s="22">
        <v>41000</v>
      </c>
      <c r="D42" s="56">
        <v>2050</v>
      </c>
      <c r="E42" s="22">
        <v>205000</v>
      </c>
      <c r="F42" s="56">
        <v>4100</v>
      </c>
      <c r="G42" s="22">
        <v>410000</v>
      </c>
      <c r="H42" s="56">
        <v>6150</v>
      </c>
      <c r="I42" s="22">
        <v>2050000</v>
      </c>
      <c r="J42" s="56">
        <v>8200</v>
      </c>
      <c r="K42" s="22">
        <v>41000000</v>
      </c>
      <c r="L42" s="56">
        <v>10250</v>
      </c>
      <c r="M42" s="22">
        <v>205000000</v>
      </c>
    </row>
    <row r="43" spans="1:13">
      <c r="A43" s="56">
        <v>42</v>
      </c>
      <c r="B43" s="56">
        <v>420</v>
      </c>
      <c r="C43" s="22">
        <v>42000</v>
      </c>
      <c r="D43" s="56">
        <v>2100</v>
      </c>
      <c r="E43" s="22">
        <v>210000</v>
      </c>
      <c r="F43" s="56">
        <v>4200</v>
      </c>
      <c r="G43" s="22">
        <v>420000</v>
      </c>
      <c r="H43" s="56">
        <v>6300</v>
      </c>
      <c r="I43" s="22">
        <v>2100000</v>
      </c>
      <c r="J43" s="56">
        <v>8400</v>
      </c>
      <c r="K43" s="22">
        <v>42000000</v>
      </c>
      <c r="L43" s="56">
        <v>10500</v>
      </c>
      <c r="M43" s="22">
        <v>210000000</v>
      </c>
    </row>
    <row r="44" spans="1:13">
      <c r="A44" s="56">
        <v>43</v>
      </c>
      <c r="B44" s="56">
        <v>430</v>
      </c>
      <c r="C44" s="22">
        <v>43000</v>
      </c>
      <c r="D44" s="56">
        <v>2150</v>
      </c>
      <c r="E44" s="22">
        <v>215000</v>
      </c>
      <c r="F44" s="56">
        <v>4300</v>
      </c>
      <c r="G44" s="22">
        <v>430000</v>
      </c>
      <c r="H44" s="56">
        <v>6450</v>
      </c>
      <c r="I44" s="22">
        <v>2150000</v>
      </c>
      <c r="J44" s="56">
        <v>8600</v>
      </c>
      <c r="K44" s="22">
        <v>43000000</v>
      </c>
      <c r="L44" s="56">
        <v>10750</v>
      </c>
      <c r="M44" s="22">
        <v>215000000</v>
      </c>
    </row>
    <row r="45" spans="1:13">
      <c r="A45" s="56">
        <v>44</v>
      </c>
      <c r="B45" s="56">
        <v>440</v>
      </c>
      <c r="C45" s="22">
        <v>44000</v>
      </c>
      <c r="D45" s="56">
        <v>2200</v>
      </c>
      <c r="E45" s="22">
        <v>220000</v>
      </c>
      <c r="F45" s="56">
        <v>4400</v>
      </c>
      <c r="G45" s="22">
        <v>440000</v>
      </c>
      <c r="H45" s="56">
        <v>6600</v>
      </c>
      <c r="I45" s="22">
        <v>2200000</v>
      </c>
      <c r="J45" s="56">
        <v>8800</v>
      </c>
      <c r="K45" s="22">
        <v>44000000</v>
      </c>
      <c r="L45" s="56">
        <v>11000</v>
      </c>
      <c r="M45" s="22">
        <v>220000000</v>
      </c>
    </row>
    <row r="46" spans="1:13">
      <c r="A46" s="56">
        <v>45</v>
      </c>
      <c r="B46" s="56">
        <v>450</v>
      </c>
      <c r="C46" s="22">
        <v>45000</v>
      </c>
      <c r="D46" s="56">
        <v>2250</v>
      </c>
      <c r="E46" s="22">
        <v>225000</v>
      </c>
      <c r="F46" s="56">
        <v>4500</v>
      </c>
      <c r="G46" s="22">
        <v>450000</v>
      </c>
      <c r="H46" s="56">
        <v>6750</v>
      </c>
      <c r="I46" s="22">
        <v>2250000</v>
      </c>
      <c r="J46" s="56">
        <v>9000</v>
      </c>
      <c r="K46" s="22">
        <v>45000000</v>
      </c>
      <c r="L46" s="56">
        <v>11250</v>
      </c>
      <c r="M46" s="22">
        <v>225000000</v>
      </c>
    </row>
    <row r="47" spans="1:13">
      <c r="A47" s="56">
        <v>46</v>
      </c>
      <c r="B47" s="56">
        <v>460</v>
      </c>
      <c r="C47" s="22">
        <v>46000</v>
      </c>
      <c r="D47" s="56">
        <v>2300</v>
      </c>
      <c r="E47" s="22">
        <v>230000</v>
      </c>
      <c r="F47" s="56">
        <v>4600</v>
      </c>
      <c r="G47" s="22">
        <v>460000</v>
      </c>
      <c r="H47" s="56">
        <v>6900</v>
      </c>
      <c r="I47" s="22">
        <v>2300000</v>
      </c>
      <c r="J47" s="56">
        <v>9200</v>
      </c>
      <c r="K47" s="22">
        <v>46000000</v>
      </c>
      <c r="L47" s="56">
        <v>11500</v>
      </c>
      <c r="M47" s="22">
        <v>230000000</v>
      </c>
    </row>
    <row r="48" spans="1:13">
      <c r="A48" s="56">
        <v>47</v>
      </c>
      <c r="B48" s="56">
        <v>470</v>
      </c>
      <c r="C48" s="22">
        <v>47000</v>
      </c>
      <c r="D48" s="56">
        <v>2350</v>
      </c>
      <c r="E48" s="22">
        <v>235000</v>
      </c>
      <c r="F48" s="56">
        <v>4700</v>
      </c>
      <c r="G48" s="22">
        <v>470000</v>
      </c>
      <c r="H48" s="56">
        <v>7050</v>
      </c>
      <c r="I48" s="22">
        <v>2350000</v>
      </c>
      <c r="J48" s="56">
        <v>9400</v>
      </c>
      <c r="K48" s="22">
        <v>47000000</v>
      </c>
      <c r="L48" s="56">
        <v>11750</v>
      </c>
      <c r="M48" s="22">
        <v>235000000</v>
      </c>
    </row>
    <row r="49" spans="1:13">
      <c r="A49" s="56">
        <v>48</v>
      </c>
      <c r="B49" s="56">
        <v>480</v>
      </c>
      <c r="C49" s="22">
        <v>48000</v>
      </c>
      <c r="D49" s="56">
        <v>2400</v>
      </c>
      <c r="E49" s="22">
        <v>240000</v>
      </c>
      <c r="F49" s="56">
        <v>4800</v>
      </c>
      <c r="G49" s="22">
        <v>480000</v>
      </c>
      <c r="H49" s="56">
        <v>7200</v>
      </c>
      <c r="I49" s="22">
        <v>2400000</v>
      </c>
      <c r="J49" s="56">
        <v>9600</v>
      </c>
      <c r="K49" s="22">
        <v>48000000</v>
      </c>
      <c r="L49" s="56">
        <v>12000</v>
      </c>
      <c r="M49" s="22">
        <v>240000000</v>
      </c>
    </row>
    <row r="50" spans="1:13">
      <c r="A50" s="56">
        <v>49</v>
      </c>
      <c r="B50" s="56">
        <v>490</v>
      </c>
      <c r="C50" s="22">
        <v>49000</v>
      </c>
      <c r="D50" s="56">
        <v>2450</v>
      </c>
      <c r="E50" s="22">
        <v>245000</v>
      </c>
      <c r="F50" s="56">
        <v>4900</v>
      </c>
      <c r="G50" s="22">
        <v>490000</v>
      </c>
      <c r="H50" s="56">
        <v>7350</v>
      </c>
      <c r="I50" s="22">
        <v>2450000</v>
      </c>
      <c r="J50" s="56">
        <v>9800</v>
      </c>
      <c r="K50" s="22">
        <v>49000000</v>
      </c>
      <c r="L50" s="56">
        <v>12250</v>
      </c>
      <c r="M50" s="22">
        <v>245000000</v>
      </c>
    </row>
    <row r="51" spans="1:13">
      <c r="A51" s="56">
        <v>50</v>
      </c>
      <c r="B51" s="56">
        <v>500</v>
      </c>
      <c r="C51" s="22">
        <v>50000</v>
      </c>
      <c r="D51" s="56">
        <v>2500</v>
      </c>
      <c r="E51" s="22">
        <v>250000</v>
      </c>
      <c r="F51" s="56">
        <v>5000</v>
      </c>
      <c r="G51" s="22">
        <v>500000</v>
      </c>
      <c r="H51" s="56">
        <v>7500</v>
      </c>
      <c r="I51" s="22">
        <v>2500000</v>
      </c>
      <c r="J51" s="56">
        <v>10000</v>
      </c>
      <c r="K51" s="22">
        <v>50000000</v>
      </c>
      <c r="L51" s="56">
        <v>12500</v>
      </c>
      <c r="M51" s="22">
        <v>250000000</v>
      </c>
    </row>
    <row r="52" spans="1:13">
      <c r="A52" s="56">
        <v>51</v>
      </c>
      <c r="B52" s="56">
        <v>510</v>
      </c>
      <c r="C52" s="22">
        <v>51000</v>
      </c>
      <c r="D52" s="56">
        <v>2550</v>
      </c>
      <c r="E52" s="22">
        <v>255000</v>
      </c>
      <c r="F52" s="56">
        <v>5100</v>
      </c>
      <c r="G52" s="22">
        <v>510000</v>
      </c>
      <c r="H52" s="56">
        <v>7650</v>
      </c>
      <c r="I52" s="22">
        <v>2550000</v>
      </c>
      <c r="J52" s="56">
        <v>10200</v>
      </c>
      <c r="K52" s="22">
        <v>51000000</v>
      </c>
      <c r="L52" s="56">
        <v>12750</v>
      </c>
      <c r="M52" s="22">
        <v>255000000</v>
      </c>
    </row>
    <row r="53" spans="1:13">
      <c r="A53" s="56">
        <v>52</v>
      </c>
      <c r="B53" s="56">
        <v>520</v>
      </c>
      <c r="C53" s="22">
        <v>52000</v>
      </c>
      <c r="D53" s="56">
        <v>2600</v>
      </c>
      <c r="E53" s="22">
        <v>260000</v>
      </c>
      <c r="F53" s="56">
        <v>5200</v>
      </c>
      <c r="G53" s="22">
        <v>520000</v>
      </c>
      <c r="H53" s="56">
        <v>7800</v>
      </c>
      <c r="I53" s="22">
        <v>2600000</v>
      </c>
      <c r="J53" s="56">
        <v>10400</v>
      </c>
      <c r="K53" s="22">
        <v>52000000</v>
      </c>
      <c r="L53" s="56">
        <v>13000</v>
      </c>
      <c r="M53" s="22">
        <v>260000000</v>
      </c>
    </row>
    <row r="54" spans="1:13">
      <c r="A54" s="56">
        <v>53</v>
      </c>
      <c r="B54" s="56">
        <v>530</v>
      </c>
      <c r="C54" s="22">
        <v>53000</v>
      </c>
      <c r="D54" s="56">
        <v>2650</v>
      </c>
      <c r="E54" s="22">
        <v>265000</v>
      </c>
      <c r="F54" s="56">
        <v>5300</v>
      </c>
      <c r="G54" s="22">
        <v>530000</v>
      </c>
      <c r="H54" s="56">
        <v>7950</v>
      </c>
      <c r="I54" s="22">
        <v>2650000</v>
      </c>
      <c r="J54" s="56">
        <v>10600</v>
      </c>
      <c r="K54" s="22">
        <v>53000000</v>
      </c>
      <c r="L54" s="56">
        <v>13250</v>
      </c>
      <c r="M54" s="22">
        <v>265000000</v>
      </c>
    </row>
    <row r="55" spans="1:13">
      <c r="A55" s="56">
        <v>54</v>
      </c>
      <c r="B55" s="56">
        <v>540</v>
      </c>
      <c r="C55" s="22">
        <v>54000</v>
      </c>
      <c r="D55" s="56">
        <v>2700</v>
      </c>
      <c r="E55" s="22">
        <v>270000</v>
      </c>
      <c r="F55" s="56">
        <v>5400</v>
      </c>
      <c r="G55" s="22">
        <v>540000</v>
      </c>
      <c r="H55" s="56">
        <v>8100</v>
      </c>
      <c r="I55" s="22">
        <v>2700000</v>
      </c>
      <c r="J55" s="56">
        <v>10800</v>
      </c>
      <c r="K55" s="22">
        <v>54000000</v>
      </c>
      <c r="L55" s="56">
        <v>13500</v>
      </c>
      <c r="M55" s="22">
        <v>270000000</v>
      </c>
    </row>
    <row r="56" spans="1:13">
      <c r="A56" s="56">
        <v>55</v>
      </c>
      <c r="B56" s="56">
        <v>550</v>
      </c>
      <c r="C56" s="22">
        <v>55000</v>
      </c>
      <c r="D56" s="56">
        <v>2750</v>
      </c>
      <c r="E56" s="22">
        <v>275000</v>
      </c>
      <c r="F56" s="56">
        <v>5500</v>
      </c>
      <c r="G56" s="22">
        <v>550000</v>
      </c>
      <c r="H56" s="56">
        <v>8250</v>
      </c>
      <c r="I56" s="22">
        <v>2750000</v>
      </c>
      <c r="J56" s="56">
        <v>11000</v>
      </c>
      <c r="K56" s="22">
        <v>55000000</v>
      </c>
      <c r="L56" s="56">
        <v>13750</v>
      </c>
      <c r="M56" s="22">
        <v>275000000</v>
      </c>
    </row>
    <row r="57" spans="1:13">
      <c r="A57" s="56">
        <v>56</v>
      </c>
      <c r="B57" s="56">
        <v>560</v>
      </c>
      <c r="C57" s="22">
        <v>56000</v>
      </c>
      <c r="D57" s="56">
        <v>2800</v>
      </c>
      <c r="E57" s="22">
        <v>280000</v>
      </c>
      <c r="F57" s="56">
        <v>5600</v>
      </c>
      <c r="G57" s="22">
        <v>560000</v>
      </c>
      <c r="H57" s="56">
        <v>8400</v>
      </c>
      <c r="I57" s="22">
        <v>2800000</v>
      </c>
      <c r="J57" s="56">
        <v>11200</v>
      </c>
      <c r="K57" s="22">
        <v>56000000</v>
      </c>
      <c r="L57" s="56">
        <v>14000</v>
      </c>
      <c r="M57" s="22">
        <v>280000000</v>
      </c>
    </row>
    <row r="58" spans="1:13">
      <c r="A58" s="56">
        <v>57</v>
      </c>
      <c r="B58" s="56">
        <v>570</v>
      </c>
      <c r="C58" s="22">
        <v>57000</v>
      </c>
      <c r="D58" s="56">
        <v>2850</v>
      </c>
      <c r="E58" s="22">
        <v>285000</v>
      </c>
      <c r="F58" s="56">
        <v>5700</v>
      </c>
      <c r="G58" s="22">
        <v>570000</v>
      </c>
      <c r="H58" s="56">
        <v>8550</v>
      </c>
      <c r="I58" s="22">
        <v>2850000</v>
      </c>
      <c r="J58" s="56">
        <v>11400</v>
      </c>
      <c r="K58" s="22">
        <v>57000000</v>
      </c>
      <c r="L58" s="56">
        <v>14250</v>
      </c>
      <c r="M58" s="22">
        <v>285000000</v>
      </c>
    </row>
    <row r="59" spans="1:13">
      <c r="A59" s="56">
        <v>58</v>
      </c>
      <c r="B59" s="56">
        <v>580</v>
      </c>
      <c r="C59" s="22">
        <v>58000</v>
      </c>
      <c r="D59" s="56">
        <v>2900</v>
      </c>
      <c r="E59" s="22">
        <v>290000</v>
      </c>
      <c r="F59" s="56">
        <v>5800</v>
      </c>
      <c r="G59" s="22">
        <v>580000</v>
      </c>
      <c r="H59" s="56">
        <v>8700</v>
      </c>
      <c r="I59" s="22">
        <v>2900000</v>
      </c>
      <c r="J59" s="56">
        <v>11600</v>
      </c>
      <c r="K59" s="22">
        <v>58000000</v>
      </c>
      <c r="L59" s="56">
        <v>14500</v>
      </c>
      <c r="M59" s="22">
        <v>290000000</v>
      </c>
    </row>
    <row r="60" spans="1:13">
      <c r="A60" s="56">
        <v>59</v>
      </c>
      <c r="B60" s="56">
        <v>590</v>
      </c>
      <c r="C60" s="22">
        <v>59000</v>
      </c>
      <c r="D60" s="56">
        <v>2950</v>
      </c>
      <c r="E60" s="22">
        <v>295000</v>
      </c>
      <c r="F60" s="56">
        <v>5900</v>
      </c>
      <c r="G60" s="22">
        <v>590000</v>
      </c>
      <c r="H60" s="56">
        <v>8850</v>
      </c>
      <c r="I60" s="22">
        <v>2950000</v>
      </c>
      <c r="J60" s="56">
        <v>11800</v>
      </c>
      <c r="K60" s="22">
        <v>59000000</v>
      </c>
      <c r="L60" s="56">
        <v>14750</v>
      </c>
      <c r="M60" s="22">
        <v>295000000</v>
      </c>
    </row>
    <row r="61" spans="1:13">
      <c r="A61" s="56">
        <v>60</v>
      </c>
      <c r="B61" s="56">
        <v>600</v>
      </c>
      <c r="C61" s="22">
        <v>60000</v>
      </c>
      <c r="D61" s="56">
        <v>3000</v>
      </c>
      <c r="E61" s="22">
        <v>300000</v>
      </c>
      <c r="F61" s="56">
        <v>6000</v>
      </c>
      <c r="G61" s="22">
        <v>600000</v>
      </c>
      <c r="H61" s="56">
        <v>9000</v>
      </c>
      <c r="I61" s="22">
        <v>3000000</v>
      </c>
      <c r="J61" s="56">
        <v>12000</v>
      </c>
      <c r="K61" s="22">
        <v>60000000</v>
      </c>
      <c r="L61" s="56">
        <v>15000</v>
      </c>
      <c r="M61" s="22">
        <v>300000000</v>
      </c>
    </row>
    <row r="62" spans="1:13">
      <c r="A62" s="56">
        <v>61</v>
      </c>
      <c r="B62" s="56">
        <v>610</v>
      </c>
      <c r="C62" s="22">
        <v>61000</v>
      </c>
      <c r="D62" s="56">
        <v>3050</v>
      </c>
      <c r="E62" s="22">
        <v>305000</v>
      </c>
      <c r="F62" s="56">
        <v>6100</v>
      </c>
      <c r="G62" s="22">
        <v>610000</v>
      </c>
      <c r="H62" s="56">
        <v>9150</v>
      </c>
      <c r="I62" s="22">
        <v>3050000</v>
      </c>
      <c r="J62" s="56">
        <v>12200</v>
      </c>
      <c r="K62" s="22">
        <v>61000000</v>
      </c>
      <c r="L62" s="56">
        <v>15250</v>
      </c>
      <c r="M62" s="22">
        <v>305000000</v>
      </c>
    </row>
    <row r="63" spans="1:13">
      <c r="A63" s="56">
        <v>62</v>
      </c>
      <c r="B63" s="56">
        <v>620</v>
      </c>
      <c r="C63" s="22">
        <v>62000</v>
      </c>
      <c r="D63" s="56">
        <v>3100</v>
      </c>
      <c r="E63" s="22">
        <v>310000</v>
      </c>
      <c r="F63" s="56">
        <v>6200</v>
      </c>
      <c r="G63" s="22">
        <v>620000</v>
      </c>
      <c r="H63" s="56">
        <v>9300</v>
      </c>
      <c r="I63" s="22">
        <v>3100000</v>
      </c>
      <c r="J63" s="56">
        <v>12400</v>
      </c>
      <c r="K63" s="22">
        <v>62000000</v>
      </c>
      <c r="L63" s="56">
        <v>15500</v>
      </c>
      <c r="M63" s="22">
        <v>310000000</v>
      </c>
    </row>
    <row r="64" spans="1:13">
      <c r="A64" s="56">
        <v>63</v>
      </c>
      <c r="B64" s="56">
        <v>630</v>
      </c>
      <c r="C64" s="22">
        <v>63000</v>
      </c>
      <c r="D64" s="56">
        <v>3150</v>
      </c>
      <c r="E64" s="22">
        <v>315000</v>
      </c>
      <c r="F64" s="56">
        <v>6300</v>
      </c>
      <c r="G64" s="22">
        <v>630000</v>
      </c>
      <c r="H64" s="56">
        <v>9450</v>
      </c>
      <c r="I64" s="22">
        <v>3150000</v>
      </c>
      <c r="J64" s="56">
        <v>12600</v>
      </c>
      <c r="K64" s="22">
        <v>63000000</v>
      </c>
      <c r="L64" s="56">
        <v>15750</v>
      </c>
      <c r="M64" s="22">
        <v>315000000</v>
      </c>
    </row>
    <row r="65" spans="1:13">
      <c r="A65" s="56">
        <v>64</v>
      </c>
      <c r="B65" s="56">
        <v>640</v>
      </c>
      <c r="C65" s="22">
        <v>64000</v>
      </c>
      <c r="D65" s="56">
        <v>3200</v>
      </c>
      <c r="E65" s="22">
        <v>320000</v>
      </c>
      <c r="F65" s="56">
        <v>6400</v>
      </c>
      <c r="G65" s="22">
        <v>640000</v>
      </c>
      <c r="H65" s="56">
        <v>9600</v>
      </c>
      <c r="I65" s="22">
        <v>3200000</v>
      </c>
      <c r="J65" s="56">
        <v>12800</v>
      </c>
      <c r="K65" s="22">
        <v>64000000</v>
      </c>
      <c r="L65" s="56">
        <v>16000</v>
      </c>
      <c r="M65" s="22">
        <v>320000000</v>
      </c>
    </row>
    <row r="66" spans="1:13">
      <c r="A66" s="56">
        <v>65</v>
      </c>
      <c r="B66" s="56">
        <v>650</v>
      </c>
      <c r="C66" s="22">
        <v>65000</v>
      </c>
      <c r="D66" s="56">
        <v>3250</v>
      </c>
      <c r="E66" s="22">
        <v>325000</v>
      </c>
      <c r="F66" s="56">
        <v>6500</v>
      </c>
      <c r="G66" s="22">
        <v>650000</v>
      </c>
      <c r="H66" s="56">
        <v>9750</v>
      </c>
      <c r="I66" s="22">
        <v>3250000</v>
      </c>
      <c r="J66" s="56">
        <v>13000</v>
      </c>
      <c r="K66" s="22">
        <v>65000000</v>
      </c>
      <c r="L66" s="56">
        <v>16250</v>
      </c>
      <c r="M66" s="22">
        <v>325000000</v>
      </c>
    </row>
    <row r="67" spans="1:13">
      <c r="A67" s="56">
        <v>66</v>
      </c>
      <c r="B67" s="56">
        <v>660</v>
      </c>
      <c r="C67" s="22">
        <v>66000</v>
      </c>
      <c r="D67" s="56">
        <v>3300</v>
      </c>
      <c r="E67" s="22">
        <v>330000</v>
      </c>
      <c r="F67" s="56">
        <v>6600</v>
      </c>
      <c r="G67" s="22">
        <v>660000</v>
      </c>
      <c r="H67" s="56">
        <v>9900</v>
      </c>
      <c r="I67" s="22">
        <v>3300000</v>
      </c>
      <c r="J67" s="56">
        <v>13200</v>
      </c>
      <c r="K67" s="22">
        <v>66000000</v>
      </c>
      <c r="L67" s="56">
        <v>16500</v>
      </c>
      <c r="M67" s="22">
        <v>330000000</v>
      </c>
    </row>
    <row r="68" spans="1:13">
      <c r="A68" s="56">
        <v>67</v>
      </c>
      <c r="B68" s="56">
        <v>670</v>
      </c>
      <c r="C68" s="22">
        <v>67000</v>
      </c>
      <c r="D68" s="56">
        <v>3350</v>
      </c>
      <c r="E68" s="22">
        <v>335000</v>
      </c>
      <c r="F68" s="56">
        <v>6700</v>
      </c>
      <c r="G68" s="22">
        <v>670000</v>
      </c>
      <c r="H68" s="56">
        <v>10050</v>
      </c>
      <c r="I68" s="22">
        <v>3350000</v>
      </c>
      <c r="J68" s="56">
        <v>13400</v>
      </c>
      <c r="K68" s="22">
        <v>67000000</v>
      </c>
      <c r="L68" s="56">
        <v>16750</v>
      </c>
      <c r="M68" s="22">
        <v>335000000</v>
      </c>
    </row>
    <row r="69" spans="1:13">
      <c r="A69" s="56">
        <v>68</v>
      </c>
      <c r="B69" s="56">
        <v>680</v>
      </c>
      <c r="C69" s="22">
        <v>68000</v>
      </c>
      <c r="D69" s="56">
        <v>3400</v>
      </c>
      <c r="E69" s="22">
        <v>340000</v>
      </c>
      <c r="F69" s="56">
        <v>6800</v>
      </c>
      <c r="G69" s="22">
        <v>680000</v>
      </c>
      <c r="H69" s="56">
        <v>10200</v>
      </c>
      <c r="I69" s="22">
        <v>3400000</v>
      </c>
      <c r="J69" s="56">
        <v>13600</v>
      </c>
      <c r="K69" s="22">
        <v>68000000</v>
      </c>
      <c r="L69" s="56">
        <v>17000</v>
      </c>
      <c r="M69" s="22">
        <v>340000000</v>
      </c>
    </row>
    <row r="70" spans="1:13">
      <c r="A70" s="56">
        <v>69</v>
      </c>
      <c r="B70" s="56">
        <v>690</v>
      </c>
      <c r="C70" s="22">
        <v>69000</v>
      </c>
      <c r="D70" s="56">
        <v>3450</v>
      </c>
      <c r="E70" s="22">
        <v>345000</v>
      </c>
      <c r="F70" s="56">
        <v>6900</v>
      </c>
      <c r="G70" s="22">
        <v>690000</v>
      </c>
      <c r="H70" s="56">
        <v>10350</v>
      </c>
      <c r="I70" s="22">
        <v>3450000</v>
      </c>
      <c r="J70" s="56">
        <v>13800</v>
      </c>
      <c r="K70" s="22">
        <v>69000000</v>
      </c>
      <c r="L70" s="56">
        <v>17250</v>
      </c>
      <c r="M70" s="22">
        <v>345000000</v>
      </c>
    </row>
    <row r="71" spans="1:13">
      <c r="A71" s="56">
        <v>70</v>
      </c>
      <c r="B71" s="56">
        <v>700</v>
      </c>
      <c r="C71" s="22">
        <v>70000</v>
      </c>
      <c r="D71" s="56">
        <v>3500</v>
      </c>
      <c r="E71" s="22">
        <v>350000</v>
      </c>
      <c r="F71" s="56">
        <v>7000</v>
      </c>
      <c r="G71" s="22">
        <v>700000</v>
      </c>
      <c r="H71" s="56">
        <v>10500</v>
      </c>
      <c r="I71" s="22">
        <v>3500000</v>
      </c>
      <c r="J71" s="56">
        <v>14000</v>
      </c>
      <c r="K71" s="22">
        <v>70000000</v>
      </c>
      <c r="L71" s="56">
        <v>17500</v>
      </c>
      <c r="M71" s="22">
        <v>350000000</v>
      </c>
    </row>
    <row r="72" spans="1:13">
      <c r="A72" s="56">
        <v>71</v>
      </c>
      <c r="B72" s="56">
        <v>710</v>
      </c>
      <c r="C72" s="22">
        <v>71000</v>
      </c>
      <c r="D72" s="56">
        <v>3550</v>
      </c>
      <c r="E72" s="22">
        <v>355000</v>
      </c>
      <c r="F72" s="56">
        <v>7100</v>
      </c>
      <c r="G72" s="22">
        <v>710000</v>
      </c>
      <c r="H72" s="56">
        <v>10650</v>
      </c>
      <c r="I72" s="22">
        <v>3550000</v>
      </c>
      <c r="J72" s="56">
        <v>14200</v>
      </c>
      <c r="K72" s="22">
        <v>71000000</v>
      </c>
      <c r="L72" s="56">
        <v>17750</v>
      </c>
      <c r="M72" s="22">
        <v>355000000</v>
      </c>
    </row>
    <row r="73" spans="1:13">
      <c r="A73" s="56">
        <v>72</v>
      </c>
      <c r="B73" s="56">
        <v>720</v>
      </c>
      <c r="C73" s="22">
        <v>72000</v>
      </c>
      <c r="D73" s="56">
        <v>3600</v>
      </c>
      <c r="E73" s="22">
        <v>360000</v>
      </c>
      <c r="F73" s="56">
        <v>7200</v>
      </c>
      <c r="G73" s="22">
        <v>720000</v>
      </c>
      <c r="H73" s="56">
        <v>10800</v>
      </c>
      <c r="I73" s="22">
        <v>3600000</v>
      </c>
      <c r="J73" s="56">
        <v>14400</v>
      </c>
      <c r="K73" s="22">
        <v>72000000</v>
      </c>
      <c r="L73" s="56">
        <v>18000</v>
      </c>
      <c r="M73" s="22">
        <v>360000000</v>
      </c>
    </row>
    <row r="74" spans="1:13">
      <c r="A74" s="56">
        <v>73</v>
      </c>
      <c r="B74" s="56">
        <v>730</v>
      </c>
      <c r="C74" s="22">
        <v>73000</v>
      </c>
      <c r="D74" s="56">
        <v>3650</v>
      </c>
      <c r="E74" s="22">
        <v>365000</v>
      </c>
      <c r="F74" s="56">
        <v>7300</v>
      </c>
      <c r="G74" s="22">
        <v>730000</v>
      </c>
      <c r="H74" s="56">
        <v>10950</v>
      </c>
      <c r="I74" s="22">
        <v>3650000</v>
      </c>
      <c r="J74" s="56">
        <v>14600</v>
      </c>
      <c r="K74" s="22">
        <v>73000000</v>
      </c>
      <c r="L74" s="56">
        <v>18250</v>
      </c>
      <c r="M74" s="22">
        <v>365000000</v>
      </c>
    </row>
    <row r="75" spans="1:13">
      <c r="A75" s="56">
        <v>74</v>
      </c>
      <c r="B75" s="56">
        <v>740</v>
      </c>
      <c r="C75" s="22">
        <v>74000</v>
      </c>
      <c r="D75" s="56">
        <v>3700</v>
      </c>
      <c r="E75" s="22">
        <v>370000</v>
      </c>
      <c r="F75" s="56">
        <v>7400</v>
      </c>
      <c r="G75" s="22">
        <v>740000</v>
      </c>
      <c r="H75" s="56">
        <v>11100</v>
      </c>
      <c r="I75" s="22">
        <v>3700000</v>
      </c>
      <c r="J75" s="56">
        <v>14800</v>
      </c>
      <c r="K75" s="22">
        <v>74000000</v>
      </c>
      <c r="L75" s="56">
        <v>18500</v>
      </c>
      <c r="M75" s="22">
        <v>370000000</v>
      </c>
    </row>
    <row r="76" spans="1:13">
      <c r="A76" s="56">
        <v>75</v>
      </c>
      <c r="B76" s="56">
        <v>750</v>
      </c>
      <c r="C76" s="22">
        <v>75000</v>
      </c>
      <c r="D76" s="56">
        <v>3750</v>
      </c>
      <c r="E76" s="22">
        <v>375000</v>
      </c>
      <c r="F76" s="56">
        <v>7500</v>
      </c>
      <c r="G76" s="22">
        <v>750000</v>
      </c>
      <c r="H76" s="56">
        <v>11250</v>
      </c>
      <c r="I76" s="22">
        <v>3750000</v>
      </c>
      <c r="J76" s="56">
        <v>15000</v>
      </c>
      <c r="K76" s="22">
        <v>75000000</v>
      </c>
      <c r="L76" s="56">
        <v>18750</v>
      </c>
      <c r="M76" s="22">
        <v>375000000</v>
      </c>
    </row>
    <row r="77" spans="1:13">
      <c r="A77" s="56">
        <v>76</v>
      </c>
      <c r="B77" s="56">
        <v>760</v>
      </c>
      <c r="C77" s="22">
        <v>76000</v>
      </c>
      <c r="D77" s="56">
        <v>3800</v>
      </c>
      <c r="E77" s="22">
        <v>380000</v>
      </c>
      <c r="F77" s="56">
        <v>7600</v>
      </c>
      <c r="G77" s="22">
        <v>760000</v>
      </c>
      <c r="H77" s="56">
        <v>11400</v>
      </c>
      <c r="I77" s="22">
        <v>3800000</v>
      </c>
      <c r="J77" s="56">
        <v>15200</v>
      </c>
      <c r="K77" s="22">
        <v>76000000</v>
      </c>
      <c r="L77" s="56">
        <v>19000</v>
      </c>
      <c r="M77" s="22">
        <v>380000000</v>
      </c>
    </row>
    <row r="78" spans="1:13">
      <c r="A78" s="56">
        <v>77</v>
      </c>
      <c r="B78" s="56">
        <v>770</v>
      </c>
      <c r="C78" s="22">
        <v>77000</v>
      </c>
      <c r="D78" s="56">
        <v>3850</v>
      </c>
      <c r="E78" s="22">
        <v>385000</v>
      </c>
      <c r="F78" s="56">
        <v>7700</v>
      </c>
      <c r="G78" s="22">
        <v>770000</v>
      </c>
      <c r="H78" s="56">
        <v>11550</v>
      </c>
      <c r="I78" s="22">
        <v>3850000</v>
      </c>
      <c r="J78" s="56">
        <v>15400</v>
      </c>
      <c r="K78" s="22">
        <v>77000000</v>
      </c>
      <c r="L78" s="56">
        <v>19250</v>
      </c>
      <c r="M78" s="22">
        <v>385000000</v>
      </c>
    </row>
    <row r="79" spans="1:13">
      <c r="A79" s="56">
        <v>78</v>
      </c>
      <c r="B79" s="56">
        <v>780</v>
      </c>
      <c r="C79" s="22">
        <v>78000</v>
      </c>
      <c r="D79" s="56">
        <v>3900</v>
      </c>
      <c r="E79" s="22">
        <v>390000</v>
      </c>
      <c r="F79" s="56">
        <v>7800</v>
      </c>
      <c r="G79" s="22">
        <v>780000</v>
      </c>
      <c r="H79" s="56">
        <v>11700</v>
      </c>
      <c r="I79" s="22">
        <v>3900000</v>
      </c>
      <c r="J79" s="56">
        <v>15600</v>
      </c>
      <c r="K79" s="22">
        <v>78000000</v>
      </c>
      <c r="L79" s="56">
        <v>19500</v>
      </c>
      <c r="M79" s="22">
        <v>390000000</v>
      </c>
    </row>
    <row r="80" spans="1:13">
      <c r="A80" s="56">
        <v>79</v>
      </c>
      <c r="B80" s="56">
        <v>790</v>
      </c>
      <c r="C80" s="22">
        <v>79000</v>
      </c>
      <c r="D80" s="56">
        <v>3950</v>
      </c>
      <c r="E80" s="22">
        <v>395000</v>
      </c>
      <c r="F80" s="56">
        <v>7900</v>
      </c>
      <c r="G80" s="22">
        <v>790000</v>
      </c>
      <c r="H80" s="56">
        <v>11850</v>
      </c>
      <c r="I80" s="22">
        <v>3950000</v>
      </c>
      <c r="J80" s="56">
        <v>15800</v>
      </c>
      <c r="K80" s="22">
        <v>79000000</v>
      </c>
      <c r="L80" s="56">
        <v>19750</v>
      </c>
      <c r="M80" s="22">
        <v>395000000</v>
      </c>
    </row>
    <row r="81" spans="1:13">
      <c r="A81" s="56">
        <v>80</v>
      </c>
      <c r="B81" s="56">
        <v>800</v>
      </c>
      <c r="C81" s="22">
        <v>80000</v>
      </c>
      <c r="D81" s="56">
        <v>4000</v>
      </c>
      <c r="E81" s="22">
        <v>400000</v>
      </c>
      <c r="F81" s="56">
        <v>8000</v>
      </c>
      <c r="G81" s="22">
        <v>800000</v>
      </c>
      <c r="H81" s="56">
        <v>12000</v>
      </c>
      <c r="I81" s="22">
        <v>4000000</v>
      </c>
      <c r="J81" s="56">
        <v>16000</v>
      </c>
      <c r="K81" s="22">
        <v>80000000</v>
      </c>
      <c r="L81" s="56">
        <v>20000</v>
      </c>
      <c r="M81" s="22">
        <v>400000000</v>
      </c>
    </row>
    <row r="82" spans="1:13">
      <c r="A82" s="56">
        <v>81</v>
      </c>
      <c r="B82" s="56">
        <v>810</v>
      </c>
      <c r="C82" s="22">
        <v>81000</v>
      </c>
      <c r="D82" s="56">
        <v>4050</v>
      </c>
      <c r="E82" s="22">
        <v>405000</v>
      </c>
      <c r="F82" s="56">
        <v>8100</v>
      </c>
      <c r="G82" s="22">
        <v>810000</v>
      </c>
      <c r="H82" s="56">
        <v>12150</v>
      </c>
      <c r="I82" s="22">
        <v>4050000</v>
      </c>
      <c r="J82" s="56">
        <v>16200</v>
      </c>
      <c r="K82" s="22">
        <v>81000000</v>
      </c>
      <c r="L82" s="56">
        <v>20250</v>
      </c>
      <c r="M82" s="22">
        <v>405000000</v>
      </c>
    </row>
    <row r="83" spans="1:13">
      <c r="A83" s="56">
        <v>82</v>
      </c>
      <c r="B83" s="56">
        <v>820</v>
      </c>
      <c r="C83" s="22">
        <v>82000</v>
      </c>
      <c r="D83" s="56">
        <v>4100</v>
      </c>
      <c r="E83" s="22">
        <v>410000</v>
      </c>
      <c r="F83" s="56">
        <v>8200</v>
      </c>
      <c r="G83" s="22">
        <v>820000</v>
      </c>
      <c r="H83" s="56">
        <v>12300</v>
      </c>
      <c r="I83" s="22">
        <v>4100000</v>
      </c>
      <c r="J83" s="56">
        <v>16400</v>
      </c>
      <c r="K83" s="22">
        <v>82000000</v>
      </c>
      <c r="L83" s="56">
        <v>20500</v>
      </c>
      <c r="M83" s="22">
        <v>410000000</v>
      </c>
    </row>
    <row r="84" spans="1:13">
      <c r="A84" s="56">
        <v>83</v>
      </c>
      <c r="B84" s="56">
        <v>830</v>
      </c>
      <c r="C84" s="22">
        <v>83000</v>
      </c>
      <c r="D84" s="56">
        <v>4150</v>
      </c>
      <c r="E84" s="22">
        <v>415000</v>
      </c>
      <c r="F84" s="56">
        <v>8300</v>
      </c>
      <c r="G84" s="22">
        <v>830000</v>
      </c>
      <c r="H84" s="56">
        <v>12450</v>
      </c>
      <c r="I84" s="22">
        <v>4150000</v>
      </c>
      <c r="J84" s="56">
        <v>16600</v>
      </c>
      <c r="K84" s="22">
        <v>83000000</v>
      </c>
      <c r="L84" s="56">
        <v>20750</v>
      </c>
      <c r="M84" s="22">
        <v>415000000</v>
      </c>
    </row>
    <row r="85" spans="1:13">
      <c r="A85" s="56">
        <v>84</v>
      </c>
      <c r="B85" s="56">
        <v>840</v>
      </c>
      <c r="C85" s="22">
        <v>84000</v>
      </c>
      <c r="D85" s="56">
        <v>4200</v>
      </c>
      <c r="E85" s="22">
        <v>420000</v>
      </c>
      <c r="F85" s="56">
        <v>8400</v>
      </c>
      <c r="G85" s="22">
        <v>840000</v>
      </c>
      <c r="H85" s="56">
        <v>12600</v>
      </c>
      <c r="I85" s="22">
        <v>4200000</v>
      </c>
      <c r="J85" s="56">
        <v>16800</v>
      </c>
      <c r="K85" s="22">
        <v>84000000</v>
      </c>
      <c r="L85" s="56">
        <v>21000</v>
      </c>
      <c r="M85" s="22">
        <v>420000000</v>
      </c>
    </row>
    <row r="86" spans="1:13">
      <c r="A86" s="56">
        <v>85</v>
      </c>
      <c r="B86" s="56">
        <v>850</v>
      </c>
      <c r="C86" s="22">
        <v>85000</v>
      </c>
      <c r="D86" s="56">
        <v>4250</v>
      </c>
      <c r="E86" s="22">
        <v>425000</v>
      </c>
      <c r="F86" s="56">
        <v>8500</v>
      </c>
      <c r="G86" s="22">
        <v>850000</v>
      </c>
      <c r="H86" s="56">
        <v>12750</v>
      </c>
      <c r="I86" s="22">
        <v>4250000</v>
      </c>
      <c r="J86" s="56">
        <v>17000</v>
      </c>
      <c r="K86" s="22">
        <v>85000000</v>
      </c>
      <c r="L86" s="56">
        <v>21250</v>
      </c>
      <c r="M86" s="22">
        <v>425000000</v>
      </c>
    </row>
    <row r="87" spans="1:13">
      <c r="A87" s="56">
        <v>86</v>
      </c>
      <c r="B87" s="56">
        <v>860</v>
      </c>
      <c r="C87" s="22">
        <v>86000</v>
      </c>
      <c r="D87" s="56">
        <v>4300</v>
      </c>
      <c r="E87" s="22">
        <v>430000</v>
      </c>
      <c r="F87" s="56">
        <v>8600</v>
      </c>
      <c r="G87" s="22">
        <v>860000</v>
      </c>
      <c r="H87" s="56">
        <v>12900</v>
      </c>
      <c r="I87" s="22">
        <v>4300000</v>
      </c>
      <c r="J87" s="56">
        <v>17200</v>
      </c>
      <c r="K87" s="22">
        <v>86000000</v>
      </c>
      <c r="L87" s="56">
        <v>21500</v>
      </c>
      <c r="M87" s="22">
        <v>430000000</v>
      </c>
    </row>
    <row r="88" spans="1:13">
      <c r="A88" s="56">
        <v>87</v>
      </c>
      <c r="B88" s="56">
        <v>870</v>
      </c>
      <c r="C88" s="22">
        <v>87000</v>
      </c>
      <c r="D88" s="56">
        <v>4350</v>
      </c>
      <c r="E88" s="22">
        <v>435000</v>
      </c>
      <c r="F88" s="56">
        <v>8700</v>
      </c>
      <c r="G88" s="22">
        <v>870000</v>
      </c>
      <c r="H88" s="56">
        <v>13050</v>
      </c>
      <c r="I88" s="22">
        <v>4350000</v>
      </c>
      <c r="J88" s="56">
        <v>17400</v>
      </c>
      <c r="K88" s="22">
        <v>87000000</v>
      </c>
      <c r="L88" s="56">
        <v>21750</v>
      </c>
      <c r="M88" s="22">
        <v>435000000</v>
      </c>
    </row>
    <row r="89" spans="1:13">
      <c r="A89" s="56">
        <v>88</v>
      </c>
      <c r="B89" s="56">
        <v>880</v>
      </c>
      <c r="C89" s="22">
        <v>88000</v>
      </c>
      <c r="D89" s="56">
        <v>4400</v>
      </c>
      <c r="E89" s="22">
        <v>440000</v>
      </c>
      <c r="F89" s="56">
        <v>8800</v>
      </c>
      <c r="G89" s="22">
        <v>880000</v>
      </c>
      <c r="H89" s="56">
        <v>13200</v>
      </c>
      <c r="I89" s="22">
        <v>4400000</v>
      </c>
      <c r="J89" s="56">
        <v>17600</v>
      </c>
      <c r="K89" s="22">
        <v>88000000</v>
      </c>
      <c r="L89" s="56">
        <v>22000</v>
      </c>
      <c r="M89" s="22">
        <v>440000000</v>
      </c>
    </row>
    <row r="90" spans="1:13">
      <c r="A90" s="56">
        <v>89</v>
      </c>
      <c r="B90" s="56">
        <v>890</v>
      </c>
      <c r="C90" s="22">
        <v>89000</v>
      </c>
      <c r="D90" s="56">
        <v>4450</v>
      </c>
      <c r="E90" s="22">
        <v>445000</v>
      </c>
      <c r="F90" s="56">
        <v>8900</v>
      </c>
      <c r="G90" s="22">
        <v>890000</v>
      </c>
      <c r="H90" s="56">
        <v>13350</v>
      </c>
      <c r="I90" s="22">
        <v>4450000</v>
      </c>
      <c r="J90" s="56">
        <v>17800</v>
      </c>
      <c r="K90" s="22">
        <v>89000000</v>
      </c>
      <c r="L90" s="56">
        <v>22250</v>
      </c>
      <c r="M90" s="22">
        <v>445000000</v>
      </c>
    </row>
    <row r="91" spans="1:13">
      <c r="A91" s="56">
        <v>90</v>
      </c>
      <c r="B91" s="56">
        <v>900</v>
      </c>
      <c r="C91" s="22">
        <v>90000</v>
      </c>
      <c r="D91" s="56">
        <v>4500</v>
      </c>
      <c r="E91" s="22">
        <v>450000</v>
      </c>
      <c r="F91" s="56">
        <v>9000</v>
      </c>
      <c r="G91" s="22">
        <v>900000</v>
      </c>
      <c r="H91" s="56">
        <v>13500</v>
      </c>
      <c r="I91" s="22">
        <v>4500000</v>
      </c>
      <c r="J91" s="56">
        <v>18000</v>
      </c>
      <c r="K91" s="22">
        <v>90000000</v>
      </c>
      <c r="L91" s="56">
        <v>22500</v>
      </c>
      <c r="M91" s="22">
        <v>450000000</v>
      </c>
    </row>
    <row r="92" spans="1:13">
      <c r="A92" s="56">
        <v>91</v>
      </c>
      <c r="B92" s="56">
        <v>910</v>
      </c>
      <c r="C92" s="22">
        <v>91000</v>
      </c>
      <c r="D92" s="56">
        <v>4550</v>
      </c>
      <c r="E92" s="22">
        <v>455000</v>
      </c>
      <c r="F92" s="56">
        <v>9100</v>
      </c>
      <c r="G92" s="22">
        <v>910000</v>
      </c>
      <c r="H92" s="56">
        <v>13650</v>
      </c>
      <c r="I92" s="22">
        <v>4550000</v>
      </c>
      <c r="J92" s="56">
        <v>18200</v>
      </c>
      <c r="K92" s="22">
        <v>91000000</v>
      </c>
      <c r="L92" s="56">
        <v>22750</v>
      </c>
      <c r="M92" s="22">
        <v>455000000</v>
      </c>
    </row>
    <row r="93" spans="1:13">
      <c r="A93" s="56">
        <v>92</v>
      </c>
      <c r="B93" s="56">
        <v>920</v>
      </c>
      <c r="C93" s="22">
        <v>92000</v>
      </c>
      <c r="D93" s="56">
        <v>4600</v>
      </c>
      <c r="E93" s="22">
        <v>460000</v>
      </c>
      <c r="F93" s="56">
        <v>9200</v>
      </c>
      <c r="G93" s="22">
        <v>920000</v>
      </c>
      <c r="H93" s="56">
        <v>13800</v>
      </c>
      <c r="I93" s="22">
        <v>4600000</v>
      </c>
      <c r="J93" s="56">
        <v>18400</v>
      </c>
      <c r="K93" s="22">
        <v>92000000</v>
      </c>
      <c r="L93" s="56">
        <v>23000</v>
      </c>
      <c r="M93" s="22">
        <v>460000000</v>
      </c>
    </row>
    <row r="94" spans="1:13">
      <c r="A94" s="56">
        <v>93</v>
      </c>
      <c r="B94" s="56">
        <v>930</v>
      </c>
      <c r="C94" s="22">
        <v>93000</v>
      </c>
      <c r="D94" s="56">
        <v>4650</v>
      </c>
      <c r="E94" s="22">
        <v>465000</v>
      </c>
      <c r="F94" s="56">
        <v>9300</v>
      </c>
      <c r="G94" s="22">
        <v>930000</v>
      </c>
      <c r="H94" s="56">
        <v>13950</v>
      </c>
      <c r="I94" s="22">
        <v>4650000</v>
      </c>
      <c r="J94" s="56">
        <v>18600</v>
      </c>
      <c r="K94" s="22">
        <v>93000000</v>
      </c>
      <c r="L94" s="56">
        <v>23250</v>
      </c>
      <c r="M94" s="22">
        <v>465000000</v>
      </c>
    </row>
    <row r="95" spans="1:13">
      <c r="A95" s="56">
        <v>94</v>
      </c>
      <c r="B95" s="56">
        <v>940</v>
      </c>
      <c r="C95" s="22">
        <v>94000</v>
      </c>
      <c r="D95" s="56">
        <v>4700</v>
      </c>
      <c r="E95" s="22">
        <v>470000</v>
      </c>
      <c r="F95" s="56">
        <v>9400</v>
      </c>
      <c r="G95" s="22">
        <v>940000</v>
      </c>
      <c r="H95" s="56">
        <v>14100</v>
      </c>
      <c r="I95" s="22">
        <v>4700000</v>
      </c>
      <c r="J95" s="56">
        <v>18800</v>
      </c>
      <c r="K95" s="22">
        <v>94000000</v>
      </c>
      <c r="L95" s="56">
        <v>23500</v>
      </c>
      <c r="M95" s="22">
        <v>470000000</v>
      </c>
    </row>
    <row r="96" spans="1:13">
      <c r="A96" s="56">
        <v>95</v>
      </c>
      <c r="B96" s="56">
        <v>950</v>
      </c>
      <c r="C96" s="22">
        <v>95000</v>
      </c>
      <c r="D96" s="56">
        <v>4750</v>
      </c>
      <c r="E96" s="22">
        <v>475000</v>
      </c>
      <c r="F96" s="56">
        <v>9500</v>
      </c>
      <c r="G96" s="22">
        <v>950000</v>
      </c>
      <c r="H96" s="56">
        <v>14250</v>
      </c>
      <c r="I96" s="22">
        <v>4750000</v>
      </c>
      <c r="J96" s="56">
        <v>19000</v>
      </c>
      <c r="K96" s="22">
        <v>95000000</v>
      </c>
      <c r="L96" s="56">
        <v>23750</v>
      </c>
      <c r="M96" s="22">
        <v>475000000</v>
      </c>
    </row>
    <row r="97" spans="1:13">
      <c r="A97" s="56">
        <v>96</v>
      </c>
      <c r="B97" s="56">
        <v>960</v>
      </c>
      <c r="C97" s="22">
        <v>96000</v>
      </c>
      <c r="D97" s="56">
        <v>4800</v>
      </c>
      <c r="E97" s="22">
        <v>480000</v>
      </c>
      <c r="F97" s="56">
        <v>9600</v>
      </c>
      <c r="G97" s="22">
        <v>960000</v>
      </c>
      <c r="H97" s="56">
        <v>14400</v>
      </c>
      <c r="I97" s="22">
        <v>4800000</v>
      </c>
      <c r="J97" s="56">
        <v>19200</v>
      </c>
      <c r="K97" s="22">
        <v>96000000</v>
      </c>
      <c r="L97" s="56">
        <v>24000</v>
      </c>
      <c r="M97" s="22">
        <v>480000000</v>
      </c>
    </row>
    <row r="98" spans="1:13">
      <c r="A98" s="56">
        <v>97</v>
      </c>
      <c r="B98" s="56">
        <v>970</v>
      </c>
      <c r="C98" s="22">
        <v>97000</v>
      </c>
      <c r="D98" s="56">
        <v>4850</v>
      </c>
      <c r="E98" s="22">
        <v>485000</v>
      </c>
      <c r="F98" s="56">
        <v>9700</v>
      </c>
      <c r="G98" s="22">
        <v>970000</v>
      </c>
      <c r="H98" s="56">
        <v>14550</v>
      </c>
      <c r="I98" s="22">
        <v>4850000</v>
      </c>
      <c r="J98" s="56">
        <v>19400</v>
      </c>
      <c r="K98" s="22">
        <v>97000000</v>
      </c>
      <c r="L98" s="56">
        <v>24250</v>
      </c>
      <c r="M98" s="22">
        <v>485000000</v>
      </c>
    </row>
    <row r="99" spans="1:13">
      <c r="A99" s="56">
        <v>98</v>
      </c>
      <c r="B99" s="56">
        <v>980</v>
      </c>
      <c r="C99" s="22">
        <v>98000</v>
      </c>
      <c r="D99" s="56">
        <v>4900</v>
      </c>
      <c r="E99" s="22">
        <v>490000</v>
      </c>
      <c r="F99" s="56">
        <v>9800</v>
      </c>
      <c r="G99" s="22">
        <v>980000</v>
      </c>
      <c r="H99" s="56">
        <v>14700</v>
      </c>
      <c r="I99" s="22">
        <v>4900000</v>
      </c>
      <c r="J99" s="56">
        <v>19600</v>
      </c>
      <c r="K99" s="22">
        <v>98000000</v>
      </c>
      <c r="L99" s="56">
        <v>24500</v>
      </c>
      <c r="M99" s="22">
        <v>490000000</v>
      </c>
    </row>
    <row r="100" spans="1:13">
      <c r="A100" s="56">
        <v>99</v>
      </c>
      <c r="B100" s="56">
        <v>990</v>
      </c>
      <c r="C100" s="22">
        <v>99000</v>
      </c>
      <c r="D100" s="56">
        <v>4950</v>
      </c>
      <c r="E100" s="22">
        <v>495000</v>
      </c>
      <c r="F100" s="56">
        <v>9900</v>
      </c>
      <c r="G100" s="22">
        <v>990000</v>
      </c>
      <c r="H100" s="56">
        <v>14850</v>
      </c>
      <c r="I100" s="22">
        <v>4950000</v>
      </c>
      <c r="J100" s="56">
        <v>19800</v>
      </c>
      <c r="K100" s="22">
        <v>99000000</v>
      </c>
      <c r="L100" s="56">
        <v>24750</v>
      </c>
      <c r="M100" s="22">
        <v>495000000</v>
      </c>
    </row>
    <row r="101" spans="1:13">
      <c r="A101" s="56">
        <v>100</v>
      </c>
      <c r="B101" s="56">
        <v>1000</v>
      </c>
      <c r="C101" s="22">
        <v>100000</v>
      </c>
      <c r="D101" s="56">
        <v>5000</v>
      </c>
      <c r="E101" s="22">
        <v>500000</v>
      </c>
      <c r="F101" s="56">
        <v>10000</v>
      </c>
      <c r="G101" s="22">
        <v>1000000</v>
      </c>
      <c r="H101" s="56">
        <v>15000</v>
      </c>
      <c r="I101" s="22">
        <v>5000000</v>
      </c>
      <c r="J101" s="56">
        <v>20000</v>
      </c>
      <c r="K101" s="22">
        <v>100000000</v>
      </c>
      <c r="L101" s="56">
        <v>25000</v>
      </c>
      <c r="M101" s="22">
        <v>500000000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8"/>
  <sheetViews>
    <sheetView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N22" sqref="N22"/>
    </sheetView>
  </sheetViews>
  <sheetFormatPr defaultColWidth="9" defaultRowHeight="13.5"/>
  <cols>
    <col min="1" max="1" width="5.875" customWidth="1"/>
    <col min="2" max="2" width="15" customWidth="1"/>
    <col min="3" max="3" width="9.75" customWidth="1"/>
    <col min="4" max="4" width="10.25" style="1" customWidth="1"/>
    <col min="5" max="5" width="10.25" customWidth="1"/>
    <col min="6" max="6" width="12" customWidth="1"/>
    <col min="7" max="7" width="8.5" customWidth="1"/>
    <col min="8" max="8" width="10.25" customWidth="1"/>
    <col min="9" max="9" width="12" customWidth="1"/>
    <col min="10" max="14" width="10.75" customWidth="1"/>
    <col min="15" max="15" width="12.75" customWidth="1"/>
    <col min="16" max="16" width="8.5" customWidth="1"/>
    <col min="17" max="17" width="17.25" customWidth="1"/>
    <col min="18" max="18" width="9.75" customWidth="1"/>
    <col min="19" max="19" width="14.125" customWidth="1"/>
    <col min="20" max="20" width="4.5" customWidth="1"/>
    <col min="21" max="21" width="15.125" customWidth="1"/>
    <col min="22" max="22" width="8.5" customWidth="1"/>
    <col min="23" max="23" width="11" customWidth="1"/>
    <col min="24" max="24" width="8.5" customWidth="1"/>
    <col min="25" max="25" width="29.625" customWidth="1"/>
    <col min="26" max="26" width="9.625" customWidth="1"/>
    <col min="27" max="27" width="9" customWidth="1"/>
    <col min="31" max="31" width="9" customWidth="1"/>
  </cols>
  <sheetData>
    <row r="1" ht="14.25" spans="1:35">
      <c r="A1" s="2" t="s">
        <v>118</v>
      </c>
      <c r="B1" s="2" t="s">
        <v>119</v>
      </c>
      <c r="C1" s="3" t="s">
        <v>120</v>
      </c>
      <c r="D1" s="4" t="s">
        <v>121</v>
      </c>
      <c r="E1" s="5" t="s">
        <v>122</v>
      </c>
      <c r="F1" s="6" t="s">
        <v>123</v>
      </c>
      <c r="G1" s="7" t="s">
        <v>124</v>
      </c>
      <c r="H1" s="7" t="s">
        <v>125</v>
      </c>
      <c r="I1" s="6" t="s">
        <v>126</v>
      </c>
      <c r="J1" s="7" t="s">
        <v>127</v>
      </c>
      <c r="K1" s="7" t="s">
        <v>128</v>
      </c>
      <c r="L1" s="7" t="s">
        <v>129</v>
      </c>
      <c r="M1" s="7" t="s">
        <v>130</v>
      </c>
      <c r="O1" s="19" t="s">
        <v>131</v>
      </c>
      <c r="P1" s="19"/>
      <c r="Q1" s="19" t="s">
        <v>132</v>
      </c>
      <c r="R1" s="19"/>
      <c r="S1" s="19"/>
      <c r="T1" s="19"/>
      <c r="U1" s="28" t="s">
        <v>123</v>
      </c>
      <c r="V1" s="28"/>
      <c r="W1" s="28" t="s">
        <v>126</v>
      </c>
      <c r="X1" s="28"/>
      <c r="Y1" s="19" t="s">
        <v>133</v>
      </c>
      <c r="Z1" s="38"/>
      <c r="AB1" s="39" t="s">
        <v>127</v>
      </c>
      <c r="AC1" s="39" t="s">
        <v>134</v>
      </c>
      <c r="AD1" s="39" t="s">
        <v>128</v>
      </c>
      <c r="AE1" s="39" t="s">
        <v>135</v>
      </c>
      <c r="AF1" s="39" t="s">
        <v>129</v>
      </c>
      <c r="AG1" s="39" t="s">
        <v>136</v>
      </c>
      <c r="AH1" s="39" t="s">
        <v>130</v>
      </c>
      <c r="AI1" s="39" t="s">
        <v>137</v>
      </c>
    </row>
    <row r="2" ht="14.25" spans="1:35">
      <c r="A2" s="8">
        <v>1000</v>
      </c>
      <c r="B2" s="8" t="s">
        <v>80</v>
      </c>
      <c r="C2" s="9" t="e">
        <f>($G2*VLOOKUP($E2,$S$2:$T$3,2,FALSE)*VLOOKUP($F2,$U$2:$V$16,2,FALSE)*($H2*#REF!*#REF!+#REF!*#REF!*#REF!))*IF(#REF!&lt;&gt;0,$V$7,1)*IF(#REF!&lt;&gt;0,$V$8,1)+(VLOOKUP($I2,$W$2:$X$16,2,FALSE)*(VLOOKUP($J2,$AB:$AC,2,FALSE)+VLOOKUP($K2,$AD:$AE,2,FALSE)+VLOOKUP($L2,$AF:$AG,2,FALSE)+VLOOKUP($M2,$AH:$AI,2,FALSE)))</f>
        <v>#REF!</v>
      </c>
      <c r="D2" s="10">
        <f>$G2*$Z$3</f>
        <v>0.75</v>
      </c>
      <c r="E2" s="11" t="s">
        <v>138</v>
      </c>
      <c r="F2" s="12" t="s">
        <v>139</v>
      </c>
      <c r="G2" s="13">
        <v>0.2</v>
      </c>
      <c r="H2" s="13">
        <v>1.395</v>
      </c>
      <c r="I2" s="12" t="s">
        <v>81</v>
      </c>
      <c r="J2" s="20">
        <v>0</v>
      </c>
      <c r="K2" s="20">
        <v>0</v>
      </c>
      <c r="L2" s="20">
        <v>0</v>
      </c>
      <c r="M2" s="20">
        <v>0</v>
      </c>
      <c r="O2" s="21" t="s">
        <v>140</v>
      </c>
      <c r="P2" s="22" t="e">
        <f>#REF!</f>
        <v>#REF!</v>
      </c>
      <c r="Q2" s="29" t="s">
        <v>141</v>
      </c>
      <c r="R2" s="25" t="e">
        <f>$P$4*(1-$R$13)*(1+$R$15)</f>
        <v>#REF!</v>
      </c>
      <c r="S2" s="30" t="s">
        <v>138</v>
      </c>
      <c r="T2" s="31">
        <v>1</v>
      </c>
      <c r="U2" s="32" t="s">
        <v>81</v>
      </c>
      <c r="V2" s="33">
        <v>0</v>
      </c>
      <c r="W2" s="32" t="s">
        <v>81</v>
      </c>
      <c r="X2" s="33">
        <v>0</v>
      </c>
      <c r="Y2" s="40" t="s">
        <v>142</v>
      </c>
      <c r="Z2" s="41">
        <v>30</v>
      </c>
      <c r="AB2" s="39">
        <v>0</v>
      </c>
      <c r="AC2" s="9">
        <f>$AB2/100</f>
        <v>0</v>
      </c>
      <c r="AD2" s="39">
        <v>0</v>
      </c>
      <c r="AE2" s="9">
        <f>$AD2/($AD2+100)</f>
        <v>0</v>
      </c>
      <c r="AF2" s="39">
        <v>0</v>
      </c>
      <c r="AG2" s="9">
        <f>$AF2/($AF2+200)</f>
        <v>0</v>
      </c>
      <c r="AH2" s="39">
        <v>0</v>
      </c>
      <c r="AI2" s="9">
        <f>$AH2*0.01</f>
        <v>0</v>
      </c>
    </row>
    <row r="3" ht="14.25" spans="1:35">
      <c r="A3" s="8">
        <v>1001</v>
      </c>
      <c r="B3" s="8" t="s">
        <v>82</v>
      </c>
      <c r="C3" s="9" t="e">
        <f>($G3*VLOOKUP($E3,$S$2:$T$3,2,FALSE)*VLOOKUP($F3,$U$2:$V$16,2,FALSE)*($H3*#REF!*#REF!+#REF!*#REF!*#REF!))*IF(#REF!&lt;&gt;0,$V$7,1)*IF(#REF!&lt;&gt;0,$V$8,1)+(VLOOKUP($I3,$W$2:$X$16,2,FALSE)*(VLOOKUP($J3,$AB:$AC,2,FALSE)+VLOOKUP($K3,$AD:$AE,2,FALSE)+VLOOKUP($L3,$AF:$AG,2,FALSE)+VLOOKUP($M3,$AH:$AI,2,FALSE)))</f>
        <v>#REF!</v>
      </c>
      <c r="D3" s="10">
        <f>$G3*$Z$3</f>
        <v>0.75</v>
      </c>
      <c r="E3" s="11" t="s">
        <v>138</v>
      </c>
      <c r="F3" s="12" t="s">
        <v>139</v>
      </c>
      <c r="G3" s="13">
        <v>0.2</v>
      </c>
      <c r="H3" s="13">
        <v>1.395</v>
      </c>
      <c r="I3" s="12" t="s">
        <v>81</v>
      </c>
      <c r="J3" s="20">
        <v>0</v>
      </c>
      <c r="K3" s="20">
        <v>0</v>
      </c>
      <c r="L3" s="20">
        <v>0</v>
      </c>
      <c r="M3" s="20">
        <v>0</v>
      </c>
      <c r="O3" s="21" t="s">
        <v>143</v>
      </c>
      <c r="P3" s="23">
        <f>基本数据!$F$12</f>
        <v>0.15</v>
      </c>
      <c r="Q3" s="29" t="s">
        <v>144</v>
      </c>
      <c r="R3" s="34" t="e">
        <f>$R$2*(1-$R$14)</f>
        <v>#REF!</v>
      </c>
      <c r="S3" s="30" t="s">
        <v>145</v>
      </c>
      <c r="T3" s="31">
        <v>0.9</v>
      </c>
      <c r="U3" s="32" t="s">
        <v>139</v>
      </c>
      <c r="V3" s="33">
        <v>1</v>
      </c>
      <c r="W3" s="32" t="s">
        <v>146</v>
      </c>
      <c r="X3" s="9">
        <v>1</v>
      </c>
      <c r="Y3" s="40" t="s">
        <v>147</v>
      </c>
      <c r="Z3" s="42">
        <f>$Z$2/$P$11/2</f>
        <v>3.75</v>
      </c>
      <c r="AB3" s="20">
        <v>1</v>
      </c>
      <c r="AC3" s="9">
        <f>$AB3/100</f>
        <v>0.01</v>
      </c>
      <c r="AD3" s="20">
        <v>1</v>
      </c>
      <c r="AE3" s="9">
        <f>$AD3/($AD3+100)</f>
        <v>0.0099009900990099</v>
      </c>
      <c r="AF3" s="20">
        <v>1</v>
      </c>
      <c r="AG3" s="9">
        <f>$AF3/($AF3+200)</f>
        <v>0.00497512437810945</v>
      </c>
      <c r="AH3" s="20">
        <v>1</v>
      </c>
      <c r="AI3" s="9">
        <f>$AH3*0.01</f>
        <v>0.01</v>
      </c>
    </row>
    <row r="4" ht="14.25" spans="1:35">
      <c r="A4" s="8">
        <v>1002</v>
      </c>
      <c r="B4" s="8" t="s">
        <v>83</v>
      </c>
      <c r="C4" s="9" t="e">
        <f>($G4*VLOOKUP($E4,$S$2:$T$3,2,FALSE)*VLOOKUP($F4,$U$2:$V$16,2,FALSE)*($H4*#REF!*#REF!+#REF!*#REF!*#REF!))*IF(#REF!&lt;&gt;0,$V$7,1)*IF(#REF!&lt;&gt;0,$V$8,1)+(VLOOKUP($I4,$W$2:$X$16,2,FALSE)*(VLOOKUP($J4,$AB:$AC,2,FALSE)+VLOOKUP($K4,$AD:$AE,2,FALSE)+VLOOKUP($L4,$AF:$AG,2,FALSE)+VLOOKUP($M4,$AH:$AI,2,FALSE)))</f>
        <v>#REF!</v>
      </c>
      <c r="D4" s="10">
        <f>$G4*$Z$3</f>
        <v>0.75</v>
      </c>
      <c r="E4" s="11" t="s">
        <v>145</v>
      </c>
      <c r="F4" s="12" t="s">
        <v>148</v>
      </c>
      <c r="G4" s="13">
        <v>0.2</v>
      </c>
      <c r="H4" s="13">
        <v>0</v>
      </c>
      <c r="I4" s="12" t="s">
        <v>81</v>
      </c>
      <c r="J4" s="20">
        <v>0</v>
      </c>
      <c r="K4" s="20">
        <v>0</v>
      </c>
      <c r="L4" s="20">
        <v>0</v>
      </c>
      <c r="M4" s="20">
        <v>0</v>
      </c>
      <c r="O4" s="24" t="s">
        <v>149</v>
      </c>
      <c r="P4" s="25" t="e">
        <f>$P$2*$P$3</f>
        <v>#REF!</v>
      </c>
      <c r="Q4" s="29" t="s">
        <v>150</v>
      </c>
      <c r="R4" s="34" t="e">
        <f>$P$2/$R$3</f>
        <v>#REF!</v>
      </c>
      <c r="S4" s="30"/>
      <c r="T4" s="11"/>
      <c r="U4" s="32" t="s">
        <v>148</v>
      </c>
      <c r="V4" s="33">
        <v>0.95</v>
      </c>
      <c r="W4" s="32" t="s">
        <v>151</v>
      </c>
      <c r="X4" s="33">
        <v>1.1</v>
      </c>
      <c r="Y4" s="40" t="s">
        <v>152</v>
      </c>
      <c r="Z4" s="43" t="e">
        <f>($R$6-$Z$2)/$P$11</f>
        <v>#REF!</v>
      </c>
      <c r="AB4" s="20">
        <v>2</v>
      </c>
      <c r="AC4" s="9">
        <f t="shared" ref="AC4:AC67" si="0">$AB4/100</f>
        <v>0.02</v>
      </c>
      <c r="AD4" s="20">
        <v>2</v>
      </c>
      <c r="AE4" s="9">
        <f t="shared" ref="AE4:AE67" si="1">$AD4/($AD4+100)</f>
        <v>0.0196078431372549</v>
      </c>
      <c r="AF4" s="20">
        <v>2</v>
      </c>
      <c r="AG4" s="9">
        <f t="shared" ref="AG4:AG67" si="2">$AF4/($AF4+200)</f>
        <v>0.0099009900990099</v>
      </c>
      <c r="AH4" s="20">
        <v>2</v>
      </c>
      <c r="AI4" s="9">
        <f t="shared" ref="AI4:AI67" si="3">$AH4*0.01</f>
        <v>0.02</v>
      </c>
    </row>
    <row r="5" ht="14.25" spans="1:35">
      <c r="A5" s="8">
        <v>1003</v>
      </c>
      <c r="B5" s="8" t="s">
        <v>84</v>
      </c>
      <c r="C5" s="9" t="e">
        <f>($G5*VLOOKUP($E5,$S$2:$T$3,2,FALSE)*VLOOKUP($F5,$U$2:$V$16,2,FALSE)*($H5*#REF!*#REF!+#REF!*#REF!*#REF!))*IF(#REF!&lt;&gt;0,$V$7,1)*IF(#REF!&lt;&gt;0,$V$8,1)+(VLOOKUP($I5,$W$2:$X$16,2,FALSE)*(VLOOKUP($J5,$AB:$AC,2,FALSE)+VLOOKUP($K5,$AD:$AE,2,FALSE)+VLOOKUP($L5,$AF:$AG,2,FALSE)+VLOOKUP($M5,$AH:$AI,2,FALSE)))</f>
        <v>#REF!</v>
      </c>
      <c r="D5" s="10">
        <f>$G5*$Z$3</f>
        <v>0.75</v>
      </c>
      <c r="E5" s="11" t="s">
        <v>138</v>
      </c>
      <c r="F5" s="12" t="s">
        <v>139</v>
      </c>
      <c r="G5" s="13">
        <v>0.2</v>
      </c>
      <c r="H5" s="13">
        <v>0.45</v>
      </c>
      <c r="I5" s="12" t="s">
        <v>81</v>
      </c>
      <c r="J5" s="20">
        <v>0</v>
      </c>
      <c r="K5" s="20">
        <v>0</v>
      </c>
      <c r="L5" s="20">
        <v>0</v>
      </c>
      <c r="M5" s="20">
        <v>0</v>
      </c>
      <c r="O5" s="24" t="s">
        <v>153</v>
      </c>
      <c r="P5" s="25" t="e">
        <f>#REF!</f>
        <v>#REF!</v>
      </c>
      <c r="Q5" s="29" t="s">
        <v>154</v>
      </c>
      <c r="R5" s="25" t="e">
        <f>$R$4*2</f>
        <v>#REF!</v>
      </c>
      <c r="S5" s="30"/>
      <c r="T5" s="22"/>
      <c r="U5" s="35" t="s">
        <v>155</v>
      </c>
      <c r="V5" s="33">
        <v>1.2</v>
      </c>
      <c r="W5" s="32" t="s">
        <v>156</v>
      </c>
      <c r="X5" s="33">
        <v>1.2</v>
      </c>
      <c r="Y5" s="40" t="s">
        <v>157</v>
      </c>
      <c r="Z5" s="44">
        <v>1</v>
      </c>
      <c r="AB5" s="20">
        <v>3</v>
      </c>
      <c r="AC5" s="9">
        <f t="shared" si="0"/>
        <v>0.03</v>
      </c>
      <c r="AD5" s="20">
        <v>3</v>
      </c>
      <c r="AE5" s="9">
        <f t="shared" si="1"/>
        <v>0.029126213592233</v>
      </c>
      <c r="AF5" s="20">
        <v>3</v>
      </c>
      <c r="AG5" s="9">
        <f t="shared" si="2"/>
        <v>0.0147783251231527</v>
      </c>
      <c r="AH5" s="20">
        <v>3</v>
      </c>
      <c r="AI5" s="9">
        <f t="shared" si="3"/>
        <v>0.03</v>
      </c>
    </row>
    <row r="6" ht="14.25" spans="1:35">
      <c r="A6" s="8">
        <v>1004</v>
      </c>
      <c r="B6" s="8" t="s">
        <v>85</v>
      </c>
      <c r="C6" s="9" t="e">
        <f>($G6*VLOOKUP($E6,$S$2:$T$3,2,FALSE)*VLOOKUP($F6,$U$2:$V$16,2,FALSE)*($H6*#REF!*#REF!+#REF!*#REF!*#REF!))*IF(#REF!&lt;&gt;0,$V$7,1)*IF(#REF!&lt;&gt;0,$V$8,1)+(VLOOKUP($I6,$W$2:$X$16,2,FALSE)*(VLOOKUP($J6,$AB:$AC,2,FALSE)+VLOOKUP($K6,$AD:$AE,2,FALSE)+VLOOKUP($L6,$AF:$AG,2,FALSE)+VLOOKUP($M6,$AH:$AI,2,FALSE)))</f>
        <v>#REF!</v>
      </c>
      <c r="D6" s="10">
        <f>$G6*$Z$3</f>
        <v>0.75</v>
      </c>
      <c r="E6" s="11" t="s">
        <v>138</v>
      </c>
      <c r="F6" s="12" t="s">
        <v>155</v>
      </c>
      <c r="G6" s="13">
        <v>0.2</v>
      </c>
      <c r="H6" s="13">
        <v>0.57</v>
      </c>
      <c r="I6" s="12" t="s">
        <v>81</v>
      </c>
      <c r="J6" s="20">
        <v>0</v>
      </c>
      <c r="K6" s="20">
        <v>0</v>
      </c>
      <c r="L6" s="20">
        <v>0</v>
      </c>
      <c r="M6" s="20">
        <v>0</v>
      </c>
      <c r="O6" s="21" t="s">
        <v>158</v>
      </c>
      <c r="P6" s="10" t="e">
        <f>#REF!</f>
        <v>#REF!</v>
      </c>
      <c r="Q6" s="29" t="s">
        <v>159</v>
      </c>
      <c r="R6" s="34" t="e">
        <f>$R$5*$P$11</f>
        <v>#REF!</v>
      </c>
      <c r="S6" s="30"/>
      <c r="T6" s="11"/>
      <c r="U6" s="32" t="s">
        <v>160</v>
      </c>
      <c r="V6" s="33">
        <v>1</v>
      </c>
      <c r="W6" s="32" t="s">
        <v>161</v>
      </c>
      <c r="X6" s="33">
        <v>1.3</v>
      </c>
      <c r="Y6" s="40" t="s">
        <v>162</v>
      </c>
      <c r="Z6" s="45">
        <f>$Z$3*$Z$5</f>
        <v>3.75</v>
      </c>
      <c r="AB6" s="20">
        <v>4</v>
      </c>
      <c r="AC6" s="9">
        <f t="shared" si="0"/>
        <v>0.04</v>
      </c>
      <c r="AD6" s="20">
        <v>4</v>
      </c>
      <c r="AE6" s="9">
        <f t="shared" si="1"/>
        <v>0.0384615384615385</v>
      </c>
      <c r="AF6" s="20">
        <v>4</v>
      </c>
      <c r="AG6" s="9">
        <f t="shared" si="2"/>
        <v>0.0196078431372549</v>
      </c>
      <c r="AH6" s="20">
        <v>4</v>
      </c>
      <c r="AI6" s="9">
        <f t="shared" si="3"/>
        <v>0.04</v>
      </c>
    </row>
    <row r="7" ht="14.25" spans="1:35">
      <c r="A7" s="8">
        <v>1005</v>
      </c>
      <c r="B7" s="8" t="s">
        <v>86</v>
      </c>
      <c r="C7" s="9" t="e">
        <f>($G7*VLOOKUP($E7,$S$2:$T$3,2,FALSE)*VLOOKUP($F7,$U$2:$V$16,2,FALSE)*($H7*#REF!*#REF!+#REF!*#REF!*#REF!))*IF(#REF!&lt;&gt;0,$V$7,1)*IF(#REF!&lt;&gt;0,$V$8,1)+(VLOOKUP($I7,$W$2:$X$16,2,FALSE)*(VLOOKUP($J7,$AB:$AC,2,FALSE)+VLOOKUP($K7,$AD:$AE,2,FALSE)+VLOOKUP($L7,$AF:$AG,2,FALSE)+VLOOKUP($M7,$AH:$AI,2,FALSE)))</f>
        <v>#REF!</v>
      </c>
      <c r="D7" s="10">
        <f>$G7*$Z$3</f>
        <v>3.75</v>
      </c>
      <c r="E7" s="11" t="s">
        <v>145</v>
      </c>
      <c r="F7" s="12" t="s">
        <v>81</v>
      </c>
      <c r="G7" s="13">
        <v>1</v>
      </c>
      <c r="H7" s="13">
        <v>0</v>
      </c>
      <c r="I7" s="12" t="s">
        <v>146</v>
      </c>
      <c r="J7" s="20">
        <v>10</v>
      </c>
      <c r="K7" s="20">
        <v>0</v>
      </c>
      <c r="L7" s="20">
        <v>0</v>
      </c>
      <c r="M7" s="20">
        <v>0</v>
      </c>
      <c r="O7" s="26" t="s">
        <v>163</v>
      </c>
      <c r="P7" s="10" t="e">
        <f>#REF!</f>
        <v>#REF!</v>
      </c>
      <c r="Q7" s="29"/>
      <c r="R7" s="10"/>
      <c r="S7" s="30"/>
      <c r="T7" s="11"/>
      <c r="U7" s="35" t="s">
        <v>164</v>
      </c>
      <c r="V7" s="33">
        <f>1+$R$13</f>
        <v>1.1304347826087</v>
      </c>
      <c r="W7" s="32"/>
      <c r="X7" s="33"/>
      <c r="Y7" s="40" t="s">
        <v>165</v>
      </c>
      <c r="Z7" s="46" t="e">
        <f>$R$9-$Z$3*$R$8</f>
        <v>#REF!</v>
      </c>
      <c r="AB7" s="20">
        <v>5</v>
      </c>
      <c r="AC7" s="9">
        <f t="shared" si="0"/>
        <v>0.05</v>
      </c>
      <c r="AD7" s="20">
        <v>5</v>
      </c>
      <c r="AE7" s="9">
        <f t="shared" si="1"/>
        <v>0.0476190476190476</v>
      </c>
      <c r="AF7" s="20">
        <v>5</v>
      </c>
      <c r="AG7" s="9">
        <f t="shared" si="2"/>
        <v>0.024390243902439</v>
      </c>
      <c r="AH7" s="20">
        <v>5</v>
      </c>
      <c r="AI7" s="9">
        <f t="shared" si="3"/>
        <v>0.05</v>
      </c>
    </row>
    <row r="8" ht="14.25" spans="1:35">
      <c r="A8" s="8">
        <v>1006</v>
      </c>
      <c r="B8" s="8" t="s">
        <v>166</v>
      </c>
      <c r="C8" s="9" t="e">
        <f>($G8*VLOOKUP($E8,$S$2:$T$3,2,FALSE)*VLOOKUP($F8,$U$2:$V$16,2,FALSE)*($H8*#REF!*#REF!+#REF!*#REF!*#REF!))*IF(#REF!&lt;&gt;0,$V$7,1)*IF(#REF!&lt;&gt;0,$V$8,1)+(VLOOKUP($I8,$W$2:$X$16,2,FALSE)*(VLOOKUP($J8,$AB:$AC,2,FALSE)+VLOOKUP($K8,$AD:$AE,2,FALSE)+VLOOKUP($L8,$AF:$AG,2,FALSE)+VLOOKUP($M8,$AH:$AI,2,FALSE)))</f>
        <v>#REF!</v>
      </c>
      <c r="D8" s="10">
        <f>$G8*$Z$3</f>
        <v>0.1875</v>
      </c>
      <c r="E8" s="11" t="s">
        <v>138</v>
      </c>
      <c r="F8" s="12" t="s">
        <v>139</v>
      </c>
      <c r="G8" s="13">
        <v>0.05</v>
      </c>
      <c r="H8" s="13">
        <v>5.4</v>
      </c>
      <c r="I8" s="12" t="s">
        <v>81</v>
      </c>
      <c r="J8" s="20">
        <v>0</v>
      </c>
      <c r="K8" s="20">
        <v>0</v>
      </c>
      <c r="L8" s="20">
        <v>0</v>
      </c>
      <c r="M8" s="20">
        <v>0</v>
      </c>
      <c r="O8" s="26" t="s">
        <v>167</v>
      </c>
      <c r="P8" s="10" t="e">
        <f>#REF!</f>
        <v>#REF!</v>
      </c>
      <c r="Q8" s="29" t="s">
        <v>168</v>
      </c>
      <c r="R8" s="23">
        <v>1</v>
      </c>
      <c r="S8" s="30"/>
      <c r="T8" s="22"/>
      <c r="U8" s="35" t="s">
        <v>169</v>
      </c>
      <c r="V8" s="33">
        <f>1+$R$14</f>
        <v>1.1304347826087</v>
      </c>
      <c r="W8" s="32"/>
      <c r="X8" s="33"/>
      <c r="Y8" s="40" t="s">
        <v>170</v>
      </c>
      <c r="Z8" s="9">
        <f>$Z$5/$Z$6</f>
        <v>0.266666666666667</v>
      </c>
      <c r="AB8" s="20">
        <v>6</v>
      </c>
      <c r="AC8" s="9">
        <f t="shared" si="0"/>
        <v>0.06</v>
      </c>
      <c r="AD8" s="20">
        <v>6</v>
      </c>
      <c r="AE8" s="9">
        <f t="shared" si="1"/>
        <v>0.0566037735849057</v>
      </c>
      <c r="AF8" s="20">
        <v>6</v>
      </c>
      <c r="AG8" s="9">
        <f t="shared" si="2"/>
        <v>0.029126213592233</v>
      </c>
      <c r="AH8" s="20">
        <v>6</v>
      </c>
      <c r="AI8" s="9">
        <f t="shared" si="3"/>
        <v>0.06</v>
      </c>
    </row>
    <row r="9" ht="14.25" spans="1:35">
      <c r="A9" s="8">
        <v>1007</v>
      </c>
      <c r="B9" s="8" t="s">
        <v>171</v>
      </c>
      <c r="C9" s="9" t="e">
        <f>($G9*VLOOKUP($E9,$S$2:$T$3,2,FALSE)*VLOOKUP($F9,$U$2:$V$16,2,FALSE)*($H9*#REF!*#REF!+#REF!*#REF!*#REF!))*IF(#REF!&lt;&gt;0,$V$7,1)*IF(#REF!&lt;&gt;0,$V$8,1)+(VLOOKUP($I9,$W$2:$X$16,2,FALSE)*(VLOOKUP($J9,$AB:$AC,2,FALSE)+VLOOKUP($K9,$AD:$AE,2,FALSE)+VLOOKUP($L9,$AF:$AG,2,FALSE)+VLOOKUP($M9,$AH:$AI,2,FALSE)))</f>
        <v>#REF!</v>
      </c>
      <c r="D9" s="10">
        <f>$G9*$Z$3</f>
        <v>0.75</v>
      </c>
      <c r="E9" s="11" t="s">
        <v>138</v>
      </c>
      <c r="F9" s="12" t="s">
        <v>139</v>
      </c>
      <c r="G9" s="13">
        <v>0.2</v>
      </c>
      <c r="H9" s="13">
        <v>1.235</v>
      </c>
      <c r="I9" s="12" t="s">
        <v>81</v>
      </c>
      <c r="J9" s="20">
        <v>0</v>
      </c>
      <c r="K9" s="20">
        <v>0</v>
      </c>
      <c r="L9" s="20">
        <v>0</v>
      </c>
      <c r="M9" s="20">
        <v>0</v>
      </c>
      <c r="O9" s="21" t="s">
        <v>172</v>
      </c>
      <c r="P9" s="10" t="e">
        <f>#REF!</f>
        <v>#REF!</v>
      </c>
      <c r="Q9" s="29" t="s">
        <v>173</v>
      </c>
      <c r="R9" s="36" t="e">
        <f>$R$4*$R$8</f>
        <v>#REF!</v>
      </c>
      <c r="S9" s="30"/>
      <c r="T9" s="20"/>
      <c r="U9" s="35" t="s">
        <v>174</v>
      </c>
      <c r="V9" s="33">
        <f>$V$7*$V$8</f>
        <v>1.27788279773157</v>
      </c>
      <c r="W9" s="32"/>
      <c r="X9" s="33"/>
      <c r="Y9" s="40" t="s">
        <v>175</v>
      </c>
      <c r="Z9" s="47"/>
      <c r="AB9" s="20">
        <v>7</v>
      </c>
      <c r="AC9" s="9">
        <f t="shared" si="0"/>
        <v>0.07</v>
      </c>
      <c r="AD9" s="20">
        <v>7</v>
      </c>
      <c r="AE9" s="9">
        <f t="shared" si="1"/>
        <v>0.0654205607476635</v>
      </c>
      <c r="AF9" s="20">
        <v>7</v>
      </c>
      <c r="AG9" s="9">
        <f t="shared" si="2"/>
        <v>0.0338164251207729</v>
      </c>
      <c r="AH9" s="20">
        <v>7</v>
      </c>
      <c r="AI9" s="9">
        <f t="shared" si="3"/>
        <v>0.07</v>
      </c>
    </row>
    <row r="10" ht="14.25" spans="1:35">
      <c r="A10" s="8">
        <v>1008</v>
      </c>
      <c r="B10" s="8" t="s">
        <v>176</v>
      </c>
      <c r="C10" s="9" t="e">
        <f>($G10*VLOOKUP($E10,$S$2:$T$3,2,FALSE)*VLOOKUP($F10,$U$2:$V$16,2,FALSE)*($H10*#REF!*#REF!+#REF!*#REF!*#REF!))*IF(#REF!&lt;&gt;0,$V$7,1)*IF(#REF!&lt;&gt;0,$V$8,1)+(VLOOKUP($I10,$W$2:$X$16,2,FALSE)*(VLOOKUP($J10,$AB:$AC,2,FALSE)+VLOOKUP($K10,$AD:$AE,2,FALSE)+VLOOKUP($L10,$AF:$AG,2,FALSE)+VLOOKUP($M10,$AH:$AI,2,FALSE)))</f>
        <v>#REF!</v>
      </c>
      <c r="D10" s="10">
        <f>$G10*$Z$3</f>
        <v>0.75</v>
      </c>
      <c r="E10" s="11" t="s">
        <v>138</v>
      </c>
      <c r="F10" s="12" t="s">
        <v>139</v>
      </c>
      <c r="G10" s="13">
        <v>0.2</v>
      </c>
      <c r="H10" s="13">
        <v>1.235</v>
      </c>
      <c r="I10" s="12" t="s">
        <v>81</v>
      </c>
      <c r="J10" s="20">
        <v>0</v>
      </c>
      <c r="K10" s="20">
        <v>0</v>
      </c>
      <c r="L10" s="20">
        <v>0</v>
      </c>
      <c r="M10" s="20">
        <v>0</v>
      </c>
      <c r="O10" s="24" t="s">
        <v>177</v>
      </c>
      <c r="P10" s="22">
        <v>10</v>
      </c>
      <c r="Q10" s="29" t="s">
        <v>178</v>
      </c>
      <c r="R10" s="36" t="e">
        <f>$R$5*$R$8</f>
        <v>#REF!</v>
      </c>
      <c r="S10" s="30"/>
      <c r="T10" s="11"/>
      <c r="U10" s="32" t="s">
        <v>179</v>
      </c>
      <c r="V10" s="33">
        <v>1.3</v>
      </c>
      <c r="W10" s="32"/>
      <c r="X10" s="33"/>
      <c r="Y10" s="40" t="s">
        <v>180</v>
      </c>
      <c r="Z10" s="47"/>
      <c r="AB10" s="20">
        <v>8</v>
      </c>
      <c r="AC10" s="9">
        <f t="shared" si="0"/>
        <v>0.08</v>
      </c>
      <c r="AD10" s="20">
        <v>8</v>
      </c>
      <c r="AE10" s="9">
        <f t="shared" si="1"/>
        <v>0.0740740740740741</v>
      </c>
      <c r="AF10" s="20">
        <v>8</v>
      </c>
      <c r="AG10" s="9">
        <f t="shared" si="2"/>
        <v>0.0384615384615385</v>
      </c>
      <c r="AH10" s="20">
        <v>8</v>
      </c>
      <c r="AI10" s="9">
        <f t="shared" si="3"/>
        <v>0.08</v>
      </c>
    </row>
    <row r="11" ht="14.25" spans="1:35">
      <c r="A11" s="8">
        <v>1009</v>
      </c>
      <c r="B11" s="8" t="s">
        <v>181</v>
      </c>
      <c r="C11" s="9" t="e">
        <f>($G11*VLOOKUP($E11,$S$2:$T$3,2,FALSE)*VLOOKUP($F11,$U$2:$V$16,2,FALSE)*($H11*#REF!*#REF!+#REF!*#REF!*#REF!))*IF(#REF!&lt;&gt;0,$V$7,1)*IF(#REF!&lt;&gt;0,$V$8,1)+(VLOOKUP($I11,$W$2:$X$16,2,FALSE)*(VLOOKUP($J11,$AB:$AC,2,FALSE)+VLOOKUP($K11,$AD:$AE,2,FALSE)+VLOOKUP($L11,$AF:$AG,2,FALSE)+VLOOKUP($M11,$AH:$AI,2,FALSE)))</f>
        <v>#REF!</v>
      </c>
      <c r="D11" s="10">
        <f>$G11*$Z$3</f>
        <v>3.75</v>
      </c>
      <c r="E11" s="11" t="s">
        <v>145</v>
      </c>
      <c r="F11" s="12" t="s">
        <v>81</v>
      </c>
      <c r="G11" s="13">
        <v>1</v>
      </c>
      <c r="H11" s="13">
        <v>0</v>
      </c>
      <c r="I11" s="12" t="s">
        <v>151</v>
      </c>
      <c r="J11" s="20">
        <v>5</v>
      </c>
      <c r="K11" s="20">
        <v>0</v>
      </c>
      <c r="L11" s="20">
        <v>0</v>
      </c>
      <c r="M11" s="20">
        <v>5</v>
      </c>
      <c r="O11" s="21" t="s">
        <v>182</v>
      </c>
      <c r="P11" s="22">
        <v>4</v>
      </c>
      <c r="Q11" s="29"/>
      <c r="R11" s="10"/>
      <c r="S11" s="30"/>
      <c r="T11" s="11"/>
      <c r="U11" s="32" t="s">
        <v>183</v>
      </c>
      <c r="V11" s="33">
        <v>0.9</v>
      </c>
      <c r="W11" s="32"/>
      <c r="X11" s="33"/>
      <c r="Y11" s="40" t="s">
        <v>184</v>
      </c>
      <c r="Z11" s="48" t="e">
        <f>$Z$7/$Z$3*$Z$8</f>
        <v>#REF!</v>
      </c>
      <c r="AB11" s="20">
        <v>9</v>
      </c>
      <c r="AC11" s="9">
        <f t="shared" si="0"/>
        <v>0.09</v>
      </c>
      <c r="AD11" s="20">
        <v>9</v>
      </c>
      <c r="AE11" s="9">
        <f t="shared" si="1"/>
        <v>0.0825688073394495</v>
      </c>
      <c r="AF11" s="20">
        <v>9</v>
      </c>
      <c r="AG11" s="9">
        <f t="shared" si="2"/>
        <v>0.0430622009569378</v>
      </c>
      <c r="AH11" s="20">
        <v>9</v>
      </c>
      <c r="AI11" s="9">
        <f t="shared" si="3"/>
        <v>0.09</v>
      </c>
    </row>
    <row r="12" ht="14.25" spans="1:35">
      <c r="A12" s="8">
        <v>1010</v>
      </c>
      <c r="B12" s="8" t="s">
        <v>185</v>
      </c>
      <c r="C12" s="9" t="e">
        <f>($G12*VLOOKUP($E12,$S$2:$T$3,2,FALSE)*VLOOKUP($F12,$U$2:$V$16,2,FALSE)*($H12*#REF!*#REF!+#REF!*#REF!*#REF!))*IF(#REF!&lt;&gt;0,$V$7,1)*IF(#REF!&lt;&gt;0,$V$8,1)+(VLOOKUP($I12,$W$2:$X$16,2,FALSE)*(VLOOKUP($J12,$AB:$AC,2,FALSE)+VLOOKUP($K12,$AD:$AE,2,FALSE)+VLOOKUP($L12,$AF:$AG,2,FALSE)+VLOOKUP($M12,$AH:$AI,2,FALSE)))</f>
        <v>#REF!</v>
      </c>
      <c r="D12" s="10">
        <f>$G12*$Z$3</f>
        <v>0</v>
      </c>
      <c r="E12" s="11" t="s">
        <v>145</v>
      </c>
      <c r="F12" s="12" t="s">
        <v>81</v>
      </c>
      <c r="G12" s="13">
        <v>0</v>
      </c>
      <c r="H12" s="13">
        <v>0</v>
      </c>
      <c r="I12" s="12" t="s">
        <v>81</v>
      </c>
      <c r="J12" s="20">
        <v>0</v>
      </c>
      <c r="K12" s="20">
        <v>0</v>
      </c>
      <c r="L12" s="20">
        <v>0</v>
      </c>
      <c r="M12" s="20">
        <v>0</v>
      </c>
      <c r="O12" s="24" t="s">
        <v>186</v>
      </c>
      <c r="P12" s="10">
        <f>3*$P$10*0.5</f>
        <v>15</v>
      </c>
      <c r="Q12" s="29" t="s">
        <v>187</v>
      </c>
      <c r="R12" s="36">
        <v>0</v>
      </c>
      <c r="S12" s="29" t="s">
        <v>188</v>
      </c>
      <c r="T12" s="11"/>
      <c r="U12" s="32" t="s">
        <v>189</v>
      </c>
      <c r="V12" s="33">
        <v>1.1</v>
      </c>
      <c r="W12" s="32"/>
      <c r="X12" s="33"/>
      <c r="Y12" s="40" t="s">
        <v>190</v>
      </c>
      <c r="Z12" s="34">
        <f>$Z$6/$P$10</f>
        <v>0.375</v>
      </c>
      <c r="AB12" s="20">
        <v>10</v>
      </c>
      <c r="AC12" s="9">
        <f t="shared" si="0"/>
        <v>0.1</v>
      </c>
      <c r="AD12" s="20">
        <v>10</v>
      </c>
      <c r="AE12" s="9">
        <f t="shared" si="1"/>
        <v>0.0909090909090909</v>
      </c>
      <c r="AF12" s="20">
        <v>10</v>
      </c>
      <c r="AG12" s="9">
        <f t="shared" si="2"/>
        <v>0.0476190476190476</v>
      </c>
      <c r="AH12" s="20">
        <v>10</v>
      </c>
      <c r="AI12" s="9">
        <f t="shared" si="3"/>
        <v>0.1</v>
      </c>
    </row>
    <row r="13" ht="14.25" spans="1:35">
      <c r="A13" s="8">
        <v>1011</v>
      </c>
      <c r="B13" s="8" t="s">
        <v>191</v>
      </c>
      <c r="C13" s="9" t="e">
        <f>($G13*VLOOKUP($E13,$S$2:$T$3,2,FALSE)*VLOOKUP($F13,$U$2:$V$16,2,FALSE)*($H13*#REF!*#REF!+#REF!*#REF!*#REF!))*IF(#REF!&lt;&gt;0,$V$7,1)*IF(#REF!&lt;&gt;0,$V$8,1)+(VLOOKUP($I13,$W$2:$X$16,2,FALSE)*(VLOOKUP($J13,$AB:$AC,2,FALSE)+VLOOKUP($K13,$AD:$AE,2,FALSE)+VLOOKUP($L13,$AF:$AG,2,FALSE)+VLOOKUP($M13,$AH:$AI,2,FALSE)))</f>
        <v>#REF!</v>
      </c>
      <c r="D13" s="10">
        <f>$G13*$Z$3</f>
        <v>0</v>
      </c>
      <c r="E13" s="11" t="s">
        <v>145</v>
      </c>
      <c r="F13" s="12" t="s">
        <v>81</v>
      </c>
      <c r="G13" s="13">
        <v>0</v>
      </c>
      <c r="H13" s="13">
        <v>0</v>
      </c>
      <c r="I13" s="12" t="s">
        <v>81</v>
      </c>
      <c r="J13" s="20">
        <v>0</v>
      </c>
      <c r="K13" s="20">
        <v>0</v>
      </c>
      <c r="L13" s="20">
        <v>0</v>
      </c>
      <c r="M13" s="20">
        <v>0</v>
      </c>
      <c r="O13" s="27" t="s">
        <v>192</v>
      </c>
      <c r="P13" s="10">
        <f>3*$P$10*0.5</f>
        <v>15</v>
      </c>
      <c r="Q13" s="29" t="s">
        <v>193</v>
      </c>
      <c r="R13" s="36">
        <f>$P$13/($P$13+100)</f>
        <v>0.130434782608696</v>
      </c>
      <c r="S13" s="29" t="s">
        <v>194</v>
      </c>
      <c r="T13" s="11"/>
      <c r="U13" s="20"/>
      <c r="V13" s="20"/>
      <c r="W13" s="32"/>
      <c r="X13" s="33"/>
      <c r="Y13" s="49"/>
      <c r="Z13" s="50"/>
      <c r="AB13" s="20">
        <v>11</v>
      </c>
      <c r="AC13" s="9">
        <f t="shared" si="0"/>
        <v>0.11</v>
      </c>
      <c r="AD13" s="20">
        <v>11</v>
      </c>
      <c r="AE13" s="9">
        <f t="shared" si="1"/>
        <v>0.0990990990990991</v>
      </c>
      <c r="AF13" s="20">
        <v>11</v>
      </c>
      <c r="AG13" s="9">
        <f t="shared" si="2"/>
        <v>0.0521327014218009</v>
      </c>
      <c r="AH13" s="20">
        <v>11</v>
      </c>
      <c r="AI13" s="9">
        <f t="shared" si="3"/>
        <v>0.11</v>
      </c>
    </row>
    <row r="14" ht="14.25" spans="1:35">
      <c r="A14" s="8">
        <v>1012</v>
      </c>
      <c r="B14" s="8" t="s">
        <v>195</v>
      </c>
      <c r="C14" s="9" t="e">
        <f>($G14*VLOOKUP($E14,$S$2:$T$3,2,FALSE)*VLOOKUP($F14,$U$2:$V$16,2,FALSE)*($H14*#REF!*#REF!+#REF!*#REF!*#REF!))*IF(#REF!&lt;&gt;0,$V$7,1)*IF(#REF!&lt;&gt;0,$V$8,1)+(VLOOKUP($I14,$W$2:$X$16,2,FALSE)*(VLOOKUP($J14,$AB:$AC,2,FALSE)+VLOOKUP($K14,$AD:$AE,2,FALSE)+VLOOKUP($L14,$AF:$AG,2,FALSE)+VLOOKUP($M14,$AH:$AI,2,FALSE)))</f>
        <v>#REF!</v>
      </c>
      <c r="D14" s="10">
        <f>$G14*$Z$3</f>
        <v>0</v>
      </c>
      <c r="E14" s="11" t="s">
        <v>145</v>
      </c>
      <c r="F14" s="12" t="s">
        <v>81</v>
      </c>
      <c r="G14" s="13">
        <v>0</v>
      </c>
      <c r="H14" s="13">
        <v>0</v>
      </c>
      <c r="I14" s="12" t="s">
        <v>81</v>
      </c>
      <c r="J14" s="20">
        <v>0</v>
      </c>
      <c r="K14" s="20">
        <v>0</v>
      </c>
      <c r="L14" s="20">
        <v>0</v>
      </c>
      <c r="M14" s="20">
        <v>0</v>
      </c>
      <c r="O14" s="27" t="s">
        <v>196</v>
      </c>
      <c r="P14" s="10">
        <f>3*$P$10*0.5</f>
        <v>15</v>
      </c>
      <c r="Q14" s="29" t="s">
        <v>197</v>
      </c>
      <c r="R14" s="36">
        <f>$P$14/($P$14+100)</f>
        <v>0.130434782608696</v>
      </c>
      <c r="S14" s="29" t="s">
        <v>198</v>
      </c>
      <c r="T14" s="11"/>
      <c r="U14" s="20"/>
      <c r="V14" s="20"/>
      <c r="W14" s="32"/>
      <c r="X14" s="33"/>
      <c r="Y14" s="49"/>
      <c r="Z14" s="51"/>
      <c r="AB14" s="20">
        <v>12</v>
      </c>
      <c r="AC14" s="9">
        <f t="shared" si="0"/>
        <v>0.12</v>
      </c>
      <c r="AD14" s="20">
        <v>12</v>
      </c>
      <c r="AE14" s="9">
        <f t="shared" si="1"/>
        <v>0.107142857142857</v>
      </c>
      <c r="AF14" s="20">
        <v>12</v>
      </c>
      <c r="AG14" s="9">
        <f t="shared" si="2"/>
        <v>0.0566037735849057</v>
      </c>
      <c r="AH14" s="20">
        <v>12</v>
      </c>
      <c r="AI14" s="9">
        <f t="shared" si="3"/>
        <v>0.12</v>
      </c>
    </row>
    <row r="15" ht="14.25" spans="1:35">
      <c r="A15" s="8">
        <v>1013</v>
      </c>
      <c r="B15" s="8" t="s">
        <v>199</v>
      </c>
      <c r="C15" s="9" t="e">
        <f>($G15*VLOOKUP($E15,$S$2:$T$3,2,FALSE)*VLOOKUP($F15,$U$2:$V$16,2,FALSE)*($H15*#REF!*#REF!+#REF!*#REF!*#REF!))*IF(#REF!&lt;&gt;0,$V$7,1)*IF(#REF!&lt;&gt;0,$V$8,1)+(VLOOKUP($I15,$W$2:$X$16,2,FALSE)*(VLOOKUP($J15,$AB:$AC,2,FALSE)+VLOOKUP($K15,$AD:$AE,2,FALSE)+VLOOKUP($L15,$AF:$AG,2,FALSE)+VLOOKUP($M15,$AH:$AI,2,FALSE)))</f>
        <v>#REF!</v>
      </c>
      <c r="D15" s="10">
        <f>$G15*$Z$3</f>
        <v>0</v>
      </c>
      <c r="E15" s="11" t="s">
        <v>145</v>
      </c>
      <c r="F15" s="12" t="s">
        <v>81</v>
      </c>
      <c r="G15" s="13">
        <v>0</v>
      </c>
      <c r="H15" s="13">
        <v>0</v>
      </c>
      <c r="I15" s="12" t="s">
        <v>81</v>
      </c>
      <c r="J15" s="20">
        <v>0</v>
      </c>
      <c r="K15" s="20">
        <v>0</v>
      </c>
      <c r="L15" s="20">
        <v>0</v>
      </c>
      <c r="M15" s="20">
        <v>0</v>
      </c>
      <c r="O15" s="27" t="s">
        <v>200</v>
      </c>
      <c r="P15" s="10">
        <f>3*$P$10*0.5</f>
        <v>15</v>
      </c>
      <c r="Q15" s="29" t="s">
        <v>201</v>
      </c>
      <c r="R15" s="36">
        <f>$P$15*1%</f>
        <v>0.15</v>
      </c>
      <c r="S15" s="29" t="s">
        <v>202</v>
      </c>
      <c r="T15" s="11"/>
      <c r="U15" s="20"/>
      <c r="V15" s="20"/>
      <c r="W15" s="32"/>
      <c r="X15" s="33"/>
      <c r="Y15" s="49"/>
      <c r="Z15" s="51"/>
      <c r="AB15" s="20">
        <v>13</v>
      </c>
      <c r="AC15" s="9">
        <f t="shared" si="0"/>
        <v>0.13</v>
      </c>
      <c r="AD15" s="20">
        <v>13</v>
      </c>
      <c r="AE15" s="9">
        <f t="shared" si="1"/>
        <v>0.115044247787611</v>
      </c>
      <c r="AF15" s="20">
        <v>13</v>
      </c>
      <c r="AG15" s="9">
        <f t="shared" si="2"/>
        <v>0.0610328638497653</v>
      </c>
      <c r="AH15" s="20">
        <v>13</v>
      </c>
      <c r="AI15" s="9">
        <f t="shared" si="3"/>
        <v>0.13</v>
      </c>
    </row>
    <row r="16" ht="14.25" spans="1:35">
      <c r="A16" s="8">
        <v>1014</v>
      </c>
      <c r="B16" s="8" t="s">
        <v>203</v>
      </c>
      <c r="C16" s="9" t="e">
        <f>($G16*VLOOKUP($E16,$S$2:$T$3,2,FALSE)*VLOOKUP($F16,$U$2:$V$16,2,FALSE)*($H16*#REF!*#REF!+#REF!*#REF!*#REF!))*IF(#REF!&lt;&gt;0,$V$7,1)*IF(#REF!&lt;&gt;0,$V$8,1)+(VLOOKUP($I16,$W$2:$X$16,2,FALSE)*(VLOOKUP($J16,$AB:$AC,2,FALSE)+VLOOKUP($K16,$AD:$AE,2,FALSE)+VLOOKUP($L16,$AF:$AG,2,FALSE)+VLOOKUP($M16,$AH:$AI,2,FALSE)))</f>
        <v>#REF!</v>
      </c>
      <c r="D16" s="10">
        <f>$G16*$Z$3</f>
        <v>0</v>
      </c>
      <c r="E16" s="11" t="s">
        <v>145</v>
      </c>
      <c r="F16" s="12" t="s">
        <v>81</v>
      </c>
      <c r="G16" s="13">
        <v>0</v>
      </c>
      <c r="H16" s="13">
        <v>0</v>
      </c>
      <c r="I16" s="12" t="s">
        <v>81</v>
      </c>
      <c r="J16" s="20">
        <v>0</v>
      </c>
      <c r="K16" s="20">
        <v>0</v>
      </c>
      <c r="L16" s="20">
        <v>0</v>
      </c>
      <c r="M16" s="20">
        <v>0</v>
      </c>
      <c r="O16" s="21" t="s">
        <v>204</v>
      </c>
      <c r="P16" s="25" t="e">
        <f>1*MAX(#REF!)*$P$10</f>
        <v>#REF!</v>
      </c>
      <c r="Q16" s="29" t="s">
        <v>205</v>
      </c>
      <c r="R16" s="36">
        <v>4</v>
      </c>
      <c r="S16" s="30"/>
      <c r="T16" s="11"/>
      <c r="U16" s="20"/>
      <c r="V16" s="20"/>
      <c r="W16" s="32"/>
      <c r="X16" s="37"/>
      <c r="Y16" s="52"/>
      <c r="Z16" s="20"/>
      <c r="AB16" s="20">
        <v>14</v>
      </c>
      <c r="AC16" s="9">
        <f t="shared" si="0"/>
        <v>0.14</v>
      </c>
      <c r="AD16" s="20">
        <v>14</v>
      </c>
      <c r="AE16" s="9">
        <f t="shared" si="1"/>
        <v>0.12280701754386</v>
      </c>
      <c r="AF16" s="20">
        <v>14</v>
      </c>
      <c r="AG16" s="9">
        <f t="shared" si="2"/>
        <v>0.0654205607476635</v>
      </c>
      <c r="AH16" s="20">
        <v>14</v>
      </c>
      <c r="AI16" s="9">
        <f t="shared" si="3"/>
        <v>0.14</v>
      </c>
    </row>
    <row r="17" spans="1:35">
      <c r="A17" s="14"/>
      <c r="B17" s="14"/>
      <c r="C17" s="14"/>
      <c r="D17" s="15"/>
      <c r="E17" s="16"/>
      <c r="F17" s="17"/>
      <c r="G17" s="18"/>
      <c r="H17" s="18"/>
      <c r="I17" s="17"/>
      <c r="AB17" s="20">
        <v>15</v>
      </c>
      <c r="AC17" s="9">
        <f t="shared" si="0"/>
        <v>0.15</v>
      </c>
      <c r="AD17" s="20">
        <v>15</v>
      </c>
      <c r="AE17" s="9">
        <f t="shared" si="1"/>
        <v>0.130434782608696</v>
      </c>
      <c r="AF17" s="20">
        <v>15</v>
      </c>
      <c r="AG17" s="9">
        <f t="shared" si="2"/>
        <v>0.0697674418604651</v>
      </c>
      <c r="AH17" s="20">
        <v>15</v>
      </c>
      <c r="AI17" s="9">
        <f t="shared" si="3"/>
        <v>0.15</v>
      </c>
    </row>
    <row r="18" spans="1:35">
      <c r="A18" s="14"/>
      <c r="B18" s="14"/>
      <c r="C18" s="14"/>
      <c r="D18" s="15"/>
      <c r="E18" s="16"/>
      <c r="F18" s="17"/>
      <c r="G18" s="18"/>
      <c r="H18" s="18"/>
      <c r="I18" s="17"/>
      <c r="AB18" s="20">
        <v>16</v>
      </c>
      <c r="AC18" s="9">
        <f t="shared" si="0"/>
        <v>0.16</v>
      </c>
      <c r="AD18" s="20">
        <v>16</v>
      </c>
      <c r="AE18" s="9">
        <f t="shared" si="1"/>
        <v>0.137931034482759</v>
      </c>
      <c r="AF18" s="20">
        <v>16</v>
      </c>
      <c r="AG18" s="9">
        <f t="shared" si="2"/>
        <v>0.0740740740740741</v>
      </c>
      <c r="AH18" s="20">
        <v>16</v>
      </c>
      <c r="AI18" s="9">
        <f t="shared" si="3"/>
        <v>0.16</v>
      </c>
    </row>
    <row r="19" spans="28:35">
      <c r="AB19" s="20">
        <v>61</v>
      </c>
      <c r="AC19" s="9">
        <f>$AB19/100</f>
        <v>0.61</v>
      </c>
      <c r="AD19" s="20">
        <v>61</v>
      </c>
      <c r="AE19" s="9">
        <f>$AD19/($AD19+100)</f>
        <v>0.37888198757764</v>
      </c>
      <c r="AF19" s="20">
        <v>61</v>
      </c>
      <c r="AG19" s="9">
        <f>$AF19/($AF19+200)</f>
        <v>0.233716475095785</v>
      </c>
      <c r="AH19" s="20">
        <v>61</v>
      </c>
      <c r="AI19" s="9">
        <f>$AH19*0.01</f>
        <v>0.61</v>
      </c>
    </row>
    <row r="20" spans="28:35">
      <c r="AB20" s="20">
        <v>62</v>
      </c>
      <c r="AC20" s="9">
        <f>$AB20/100</f>
        <v>0.62</v>
      </c>
      <c r="AD20" s="20">
        <v>62</v>
      </c>
      <c r="AE20" s="9">
        <f>$AD20/($AD20+100)</f>
        <v>0.382716049382716</v>
      </c>
      <c r="AF20" s="20">
        <v>62</v>
      </c>
      <c r="AG20" s="9">
        <f>$AF20/($AF20+200)</f>
        <v>0.236641221374046</v>
      </c>
      <c r="AH20" s="20">
        <v>62</v>
      </c>
      <c r="AI20" s="9">
        <f>$AH20*0.01</f>
        <v>0.62</v>
      </c>
    </row>
    <row r="21" spans="28:35">
      <c r="AB21" s="20">
        <v>63</v>
      </c>
      <c r="AC21" s="9">
        <f>$AB21/100</f>
        <v>0.63</v>
      </c>
      <c r="AD21" s="20">
        <v>63</v>
      </c>
      <c r="AE21" s="9">
        <f>$AD21/($AD21+100)</f>
        <v>0.386503067484663</v>
      </c>
      <c r="AF21" s="20">
        <v>63</v>
      </c>
      <c r="AG21" s="9">
        <f>$AF21/($AF21+200)</f>
        <v>0.239543726235741</v>
      </c>
      <c r="AH21" s="20">
        <v>63</v>
      </c>
      <c r="AI21" s="9">
        <f>$AH21*0.01</f>
        <v>0.63</v>
      </c>
    </row>
    <row r="22" spans="28:35">
      <c r="AB22" s="20">
        <v>64</v>
      </c>
      <c r="AC22" s="9">
        <f>$AB22/100</f>
        <v>0.64</v>
      </c>
      <c r="AD22" s="20">
        <v>64</v>
      </c>
      <c r="AE22" s="9">
        <f>$AD22/($AD22+100)</f>
        <v>0.390243902439024</v>
      </c>
      <c r="AF22" s="20">
        <v>64</v>
      </c>
      <c r="AG22" s="9">
        <f>$AF22/($AF22+200)</f>
        <v>0.242424242424242</v>
      </c>
      <c r="AH22" s="20">
        <v>64</v>
      </c>
      <c r="AI22" s="9">
        <f>$AH22*0.01</f>
        <v>0.64</v>
      </c>
    </row>
    <row r="23" spans="28:35">
      <c r="AB23" s="20">
        <v>65</v>
      </c>
      <c r="AC23" s="9">
        <f>$AB23/100</f>
        <v>0.65</v>
      </c>
      <c r="AD23" s="20">
        <v>65</v>
      </c>
      <c r="AE23" s="9">
        <f>$AD23/($AD23+100)</f>
        <v>0.393939393939394</v>
      </c>
      <c r="AF23" s="20">
        <v>65</v>
      </c>
      <c r="AG23" s="9">
        <f>$AF23/($AF23+200)</f>
        <v>0.245283018867925</v>
      </c>
      <c r="AH23" s="20">
        <v>65</v>
      </c>
      <c r="AI23" s="9">
        <f>$AH23*0.01</f>
        <v>0.65</v>
      </c>
    </row>
    <row r="24" spans="28:35">
      <c r="AB24" s="20">
        <v>66</v>
      </c>
      <c r="AC24" s="9">
        <f t="shared" ref="AC24:AC87" si="4">$AB24/100</f>
        <v>0.66</v>
      </c>
      <c r="AD24" s="20">
        <v>66</v>
      </c>
      <c r="AE24" s="9">
        <f t="shared" ref="AE24:AE87" si="5">$AD24/($AD24+100)</f>
        <v>0.397590361445783</v>
      </c>
      <c r="AF24" s="20">
        <v>66</v>
      </c>
      <c r="AG24" s="9">
        <f t="shared" ref="AG24:AG87" si="6">$AF24/($AF24+200)</f>
        <v>0.24812030075188</v>
      </c>
      <c r="AH24" s="20">
        <v>66</v>
      </c>
      <c r="AI24" s="9">
        <f t="shared" ref="AI24:AI87" si="7">$AH24*0.01</f>
        <v>0.66</v>
      </c>
    </row>
    <row r="25" spans="28:35">
      <c r="AB25" s="20">
        <v>67</v>
      </c>
      <c r="AC25" s="9">
        <f t="shared" si="4"/>
        <v>0.67</v>
      </c>
      <c r="AD25" s="20">
        <v>67</v>
      </c>
      <c r="AE25" s="9">
        <f t="shared" si="5"/>
        <v>0.401197604790419</v>
      </c>
      <c r="AF25" s="20">
        <v>67</v>
      </c>
      <c r="AG25" s="9">
        <f t="shared" si="6"/>
        <v>0.250936329588015</v>
      </c>
      <c r="AH25" s="20">
        <v>67</v>
      </c>
      <c r="AI25" s="9">
        <f t="shared" si="7"/>
        <v>0.67</v>
      </c>
    </row>
    <row r="26" spans="28:35">
      <c r="AB26" s="20">
        <v>68</v>
      </c>
      <c r="AC26" s="9">
        <f t="shared" si="4"/>
        <v>0.68</v>
      </c>
      <c r="AD26" s="20">
        <v>68</v>
      </c>
      <c r="AE26" s="9">
        <f t="shared" si="5"/>
        <v>0.404761904761905</v>
      </c>
      <c r="AF26" s="20">
        <v>68</v>
      </c>
      <c r="AG26" s="9">
        <f t="shared" si="6"/>
        <v>0.253731343283582</v>
      </c>
      <c r="AH26" s="20">
        <v>68</v>
      </c>
      <c r="AI26" s="9">
        <f t="shared" si="7"/>
        <v>0.68</v>
      </c>
    </row>
    <row r="27" spans="28:35">
      <c r="AB27" s="20">
        <v>69</v>
      </c>
      <c r="AC27" s="9">
        <f t="shared" si="4"/>
        <v>0.69</v>
      </c>
      <c r="AD27" s="20">
        <v>69</v>
      </c>
      <c r="AE27" s="9">
        <f t="shared" si="5"/>
        <v>0.408284023668639</v>
      </c>
      <c r="AF27" s="20">
        <v>69</v>
      </c>
      <c r="AG27" s="9">
        <f t="shared" si="6"/>
        <v>0.256505576208178</v>
      </c>
      <c r="AH27" s="20">
        <v>69</v>
      </c>
      <c r="AI27" s="9">
        <f t="shared" si="7"/>
        <v>0.69</v>
      </c>
    </row>
    <row r="28" spans="28:35">
      <c r="AB28" s="20">
        <v>70</v>
      </c>
      <c r="AC28" s="9">
        <f t="shared" si="4"/>
        <v>0.7</v>
      </c>
      <c r="AD28" s="20">
        <v>70</v>
      </c>
      <c r="AE28" s="9">
        <f t="shared" si="5"/>
        <v>0.411764705882353</v>
      </c>
      <c r="AF28" s="20">
        <v>70</v>
      </c>
      <c r="AG28" s="9">
        <f t="shared" si="6"/>
        <v>0.259259259259259</v>
      </c>
      <c r="AH28" s="20">
        <v>70</v>
      </c>
      <c r="AI28" s="9">
        <f t="shared" si="7"/>
        <v>0.7</v>
      </c>
    </row>
    <row r="29" spans="28:35">
      <c r="AB29" s="20">
        <v>71</v>
      </c>
      <c r="AC29" s="9">
        <f t="shared" si="4"/>
        <v>0.71</v>
      </c>
      <c r="AD29" s="20">
        <v>71</v>
      </c>
      <c r="AE29" s="9">
        <f t="shared" si="5"/>
        <v>0.415204678362573</v>
      </c>
      <c r="AF29" s="20">
        <v>71</v>
      </c>
      <c r="AG29" s="9">
        <f t="shared" si="6"/>
        <v>0.261992619926199</v>
      </c>
      <c r="AH29" s="20">
        <v>71</v>
      </c>
      <c r="AI29" s="9">
        <f t="shared" si="7"/>
        <v>0.71</v>
      </c>
    </row>
    <row r="30" spans="28:35">
      <c r="AB30" s="20">
        <v>72</v>
      </c>
      <c r="AC30" s="9">
        <f t="shared" si="4"/>
        <v>0.72</v>
      </c>
      <c r="AD30" s="20">
        <v>72</v>
      </c>
      <c r="AE30" s="9">
        <f t="shared" si="5"/>
        <v>0.418604651162791</v>
      </c>
      <c r="AF30" s="20">
        <v>72</v>
      </c>
      <c r="AG30" s="9">
        <f t="shared" si="6"/>
        <v>0.264705882352941</v>
      </c>
      <c r="AH30" s="20">
        <v>72</v>
      </c>
      <c r="AI30" s="9">
        <f t="shared" si="7"/>
        <v>0.72</v>
      </c>
    </row>
    <row r="31" spans="28:35">
      <c r="AB31" s="20">
        <v>73</v>
      </c>
      <c r="AC31" s="9">
        <f t="shared" si="4"/>
        <v>0.73</v>
      </c>
      <c r="AD31" s="20">
        <v>73</v>
      </c>
      <c r="AE31" s="9">
        <f t="shared" si="5"/>
        <v>0.421965317919075</v>
      </c>
      <c r="AF31" s="20">
        <v>73</v>
      </c>
      <c r="AG31" s="9">
        <f t="shared" si="6"/>
        <v>0.267399267399267</v>
      </c>
      <c r="AH31" s="20">
        <v>73</v>
      </c>
      <c r="AI31" s="9">
        <f t="shared" si="7"/>
        <v>0.73</v>
      </c>
    </row>
    <row r="32" spans="28:35">
      <c r="AB32" s="20">
        <v>74</v>
      </c>
      <c r="AC32" s="9">
        <f t="shared" si="4"/>
        <v>0.74</v>
      </c>
      <c r="AD32" s="20">
        <v>74</v>
      </c>
      <c r="AE32" s="9">
        <f t="shared" si="5"/>
        <v>0.425287356321839</v>
      </c>
      <c r="AF32" s="20">
        <v>74</v>
      </c>
      <c r="AG32" s="9">
        <f t="shared" si="6"/>
        <v>0.27007299270073</v>
      </c>
      <c r="AH32" s="20">
        <v>74</v>
      </c>
      <c r="AI32" s="9">
        <f t="shared" si="7"/>
        <v>0.74</v>
      </c>
    </row>
    <row r="33" spans="28:35">
      <c r="AB33" s="20">
        <v>75</v>
      </c>
      <c r="AC33" s="9">
        <f t="shared" si="4"/>
        <v>0.75</v>
      </c>
      <c r="AD33" s="20">
        <v>75</v>
      </c>
      <c r="AE33" s="9">
        <f t="shared" si="5"/>
        <v>0.428571428571429</v>
      </c>
      <c r="AF33" s="20">
        <v>75</v>
      </c>
      <c r="AG33" s="9">
        <f t="shared" si="6"/>
        <v>0.272727272727273</v>
      </c>
      <c r="AH33" s="20">
        <v>75</v>
      </c>
      <c r="AI33" s="9">
        <f t="shared" si="7"/>
        <v>0.75</v>
      </c>
    </row>
    <row r="34" spans="28:35">
      <c r="AB34" s="20">
        <v>76</v>
      </c>
      <c r="AC34" s="9">
        <f t="shared" si="4"/>
        <v>0.76</v>
      </c>
      <c r="AD34" s="20">
        <v>76</v>
      </c>
      <c r="AE34" s="9">
        <f t="shared" si="5"/>
        <v>0.431818181818182</v>
      </c>
      <c r="AF34" s="20">
        <v>76</v>
      </c>
      <c r="AG34" s="9">
        <f t="shared" si="6"/>
        <v>0.27536231884058</v>
      </c>
      <c r="AH34" s="20">
        <v>76</v>
      </c>
      <c r="AI34" s="9">
        <f t="shared" si="7"/>
        <v>0.76</v>
      </c>
    </row>
    <row r="35" spans="28:35">
      <c r="AB35" s="20">
        <v>77</v>
      </c>
      <c r="AC35" s="9">
        <f t="shared" si="4"/>
        <v>0.77</v>
      </c>
      <c r="AD35" s="20">
        <v>77</v>
      </c>
      <c r="AE35" s="9">
        <f t="shared" si="5"/>
        <v>0.435028248587571</v>
      </c>
      <c r="AF35" s="20">
        <v>77</v>
      </c>
      <c r="AG35" s="9">
        <f t="shared" si="6"/>
        <v>0.277978339350181</v>
      </c>
      <c r="AH35" s="20">
        <v>77</v>
      </c>
      <c r="AI35" s="9">
        <f t="shared" si="7"/>
        <v>0.77</v>
      </c>
    </row>
    <row r="36" spans="28:35">
      <c r="AB36" s="20">
        <v>78</v>
      </c>
      <c r="AC36" s="9">
        <f t="shared" si="4"/>
        <v>0.78</v>
      </c>
      <c r="AD36" s="20">
        <v>78</v>
      </c>
      <c r="AE36" s="9">
        <f t="shared" si="5"/>
        <v>0.438202247191011</v>
      </c>
      <c r="AF36" s="20">
        <v>78</v>
      </c>
      <c r="AG36" s="9">
        <f t="shared" si="6"/>
        <v>0.280575539568345</v>
      </c>
      <c r="AH36" s="20">
        <v>78</v>
      </c>
      <c r="AI36" s="9">
        <f t="shared" si="7"/>
        <v>0.78</v>
      </c>
    </row>
    <row r="37" spans="28:35">
      <c r="AB37" s="20">
        <v>79</v>
      </c>
      <c r="AC37" s="9">
        <f t="shared" si="4"/>
        <v>0.79</v>
      </c>
      <c r="AD37" s="20">
        <v>79</v>
      </c>
      <c r="AE37" s="9">
        <f t="shared" si="5"/>
        <v>0.441340782122905</v>
      </c>
      <c r="AF37" s="20">
        <v>79</v>
      </c>
      <c r="AG37" s="9">
        <f t="shared" si="6"/>
        <v>0.283154121863799</v>
      </c>
      <c r="AH37" s="20">
        <v>79</v>
      </c>
      <c r="AI37" s="9">
        <f t="shared" si="7"/>
        <v>0.79</v>
      </c>
    </row>
    <row r="38" spans="28:35">
      <c r="AB38" s="20">
        <v>80</v>
      </c>
      <c r="AC38" s="9">
        <f t="shared" si="4"/>
        <v>0.8</v>
      </c>
      <c r="AD38" s="20">
        <v>80</v>
      </c>
      <c r="AE38" s="9">
        <f t="shared" si="5"/>
        <v>0.444444444444444</v>
      </c>
      <c r="AF38" s="20">
        <v>80</v>
      </c>
      <c r="AG38" s="9">
        <f t="shared" si="6"/>
        <v>0.285714285714286</v>
      </c>
      <c r="AH38" s="20">
        <v>80</v>
      </c>
      <c r="AI38" s="9">
        <f t="shared" si="7"/>
        <v>0.8</v>
      </c>
    </row>
    <row r="39" spans="28:35">
      <c r="AB39" s="20">
        <v>81</v>
      </c>
      <c r="AC39" s="9">
        <f t="shared" si="4"/>
        <v>0.81</v>
      </c>
      <c r="AD39" s="20">
        <v>81</v>
      </c>
      <c r="AE39" s="9">
        <f t="shared" si="5"/>
        <v>0.447513812154696</v>
      </c>
      <c r="AF39" s="20">
        <v>81</v>
      </c>
      <c r="AG39" s="9">
        <f t="shared" si="6"/>
        <v>0.288256227758007</v>
      </c>
      <c r="AH39" s="20">
        <v>81</v>
      </c>
      <c r="AI39" s="9">
        <f t="shared" si="7"/>
        <v>0.81</v>
      </c>
    </row>
    <row r="40" spans="28:35">
      <c r="AB40" s="20">
        <v>82</v>
      </c>
      <c r="AC40" s="9">
        <f t="shared" si="4"/>
        <v>0.82</v>
      </c>
      <c r="AD40" s="20">
        <v>82</v>
      </c>
      <c r="AE40" s="9">
        <f t="shared" si="5"/>
        <v>0.450549450549451</v>
      </c>
      <c r="AF40" s="20">
        <v>82</v>
      </c>
      <c r="AG40" s="9">
        <f t="shared" si="6"/>
        <v>0.290780141843972</v>
      </c>
      <c r="AH40" s="20">
        <v>82</v>
      </c>
      <c r="AI40" s="9">
        <f t="shared" si="7"/>
        <v>0.82</v>
      </c>
    </row>
    <row r="41" spans="28:35">
      <c r="AB41" s="20">
        <v>83</v>
      </c>
      <c r="AC41" s="9">
        <f t="shared" si="4"/>
        <v>0.83</v>
      </c>
      <c r="AD41" s="20">
        <v>83</v>
      </c>
      <c r="AE41" s="9">
        <f t="shared" si="5"/>
        <v>0.453551912568306</v>
      </c>
      <c r="AF41" s="20">
        <v>83</v>
      </c>
      <c r="AG41" s="9">
        <f t="shared" si="6"/>
        <v>0.293286219081272</v>
      </c>
      <c r="AH41" s="20">
        <v>83</v>
      </c>
      <c r="AI41" s="9">
        <f t="shared" si="7"/>
        <v>0.83</v>
      </c>
    </row>
    <row r="42" spans="28:35">
      <c r="AB42" s="20">
        <v>84</v>
      </c>
      <c r="AC42" s="9">
        <f t="shared" si="4"/>
        <v>0.84</v>
      </c>
      <c r="AD42" s="20">
        <v>84</v>
      </c>
      <c r="AE42" s="9">
        <f t="shared" si="5"/>
        <v>0.456521739130435</v>
      </c>
      <c r="AF42" s="20">
        <v>84</v>
      </c>
      <c r="AG42" s="9">
        <f t="shared" si="6"/>
        <v>0.295774647887324</v>
      </c>
      <c r="AH42" s="20">
        <v>84</v>
      </c>
      <c r="AI42" s="9">
        <f t="shared" si="7"/>
        <v>0.84</v>
      </c>
    </row>
    <row r="43" spans="28:35">
      <c r="AB43" s="20">
        <v>85</v>
      </c>
      <c r="AC43" s="9">
        <f t="shared" si="4"/>
        <v>0.85</v>
      </c>
      <c r="AD43" s="20">
        <v>85</v>
      </c>
      <c r="AE43" s="9">
        <f t="shared" si="5"/>
        <v>0.459459459459459</v>
      </c>
      <c r="AF43" s="20">
        <v>85</v>
      </c>
      <c r="AG43" s="9">
        <f t="shared" si="6"/>
        <v>0.298245614035088</v>
      </c>
      <c r="AH43" s="20">
        <v>85</v>
      </c>
      <c r="AI43" s="9">
        <f t="shared" si="7"/>
        <v>0.85</v>
      </c>
    </row>
    <row r="44" spans="28:35">
      <c r="AB44" s="20">
        <v>86</v>
      </c>
      <c r="AC44" s="9">
        <f t="shared" si="4"/>
        <v>0.86</v>
      </c>
      <c r="AD44" s="20">
        <v>86</v>
      </c>
      <c r="AE44" s="9">
        <f t="shared" si="5"/>
        <v>0.462365591397849</v>
      </c>
      <c r="AF44" s="20">
        <v>86</v>
      </c>
      <c r="AG44" s="9">
        <f t="shared" si="6"/>
        <v>0.300699300699301</v>
      </c>
      <c r="AH44" s="20">
        <v>86</v>
      </c>
      <c r="AI44" s="9">
        <f t="shared" si="7"/>
        <v>0.86</v>
      </c>
    </row>
    <row r="45" spans="28:35">
      <c r="AB45" s="20">
        <v>87</v>
      </c>
      <c r="AC45" s="9">
        <f t="shared" si="4"/>
        <v>0.87</v>
      </c>
      <c r="AD45" s="20">
        <v>87</v>
      </c>
      <c r="AE45" s="9">
        <f t="shared" si="5"/>
        <v>0.46524064171123</v>
      </c>
      <c r="AF45" s="20">
        <v>87</v>
      </c>
      <c r="AG45" s="9">
        <f t="shared" si="6"/>
        <v>0.303135888501742</v>
      </c>
      <c r="AH45" s="20">
        <v>87</v>
      </c>
      <c r="AI45" s="9">
        <f t="shared" si="7"/>
        <v>0.87</v>
      </c>
    </row>
    <row r="46" spans="28:35">
      <c r="AB46" s="20">
        <v>88</v>
      </c>
      <c r="AC46" s="9">
        <f t="shared" si="4"/>
        <v>0.88</v>
      </c>
      <c r="AD46" s="20">
        <v>88</v>
      </c>
      <c r="AE46" s="9">
        <f t="shared" si="5"/>
        <v>0.468085106382979</v>
      </c>
      <c r="AF46" s="20">
        <v>88</v>
      </c>
      <c r="AG46" s="9">
        <f t="shared" si="6"/>
        <v>0.305555555555556</v>
      </c>
      <c r="AH46" s="20">
        <v>88</v>
      </c>
      <c r="AI46" s="9">
        <f t="shared" si="7"/>
        <v>0.88</v>
      </c>
    </row>
    <row r="47" spans="28:35">
      <c r="AB47" s="20">
        <v>89</v>
      </c>
      <c r="AC47" s="9">
        <f t="shared" si="4"/>
        <v>0.89</v>
      </c>
      <c r="AD47" s="20">
        <v>89</v>
      </c>
      <c r="AE47" s="9">
        <f t="shared" si="5"/>
        <v>0.470899470899471</v>
      </c>
      <c r="AF47" s="20">
        <v>89</v>
      </c>
      <c r="AG47" s="9">
        <f t="shared" si="6"/>
        <v>0.307958477508651</v>
      </c>
      <c r="AH47" s="20">
        <v>89</v>
      </c>
      <c r="AI47" s="9">
        <f t="shared" si="7"/>
        <v>0.89</v>
      </c>
    </row>
    <row r="48" spans="28:35">
      <c r="AB48" s="20">
        <v>90</v>
      </c>
      <c r="AC48" s="9">
        <f t="shared" si="4"/>
        <v>0.9</v>
      </c>
      <c r="AD48" s="20">
        <v>90</v>
      </c>
      <c r="AE48" s="9">
        <f t="shared" si="5"/>
        <v>0.473684210526316</v>
      </c>
      <c r="AF48" s="20">
        <v>90</v>
      </c>
      <c r="AG48" s="9">
        <f t="shared" si="6"/>
        <v>0.310344827586207</v>
      </c>
      <c r="AH48" s="20">
        <v>90</v>
      </c>
      <c r="AI48" s="9">
        <f t="shared" si="7"/>
        <v>0.9</v>
      </c>
    </row>
    <row r="49" spans="28:35">
      <c r="AB49" s="20">
        <v>91</v>
      </c>
      <c r="AC49" s="9">
        <f t="shared" si="4"/>
        <v>0.91</v>
      </c>
      <c r="AD49" s="20">
        <v>91</v>
      </c>
      <c r="AE49" s="9">
        <f t="shared" si="5"/>
        <v>0.476439790575916</v>
      </c>
      <c r="AF49" s="20">
        <v>91</v>
      </c>
      <c r="AG49" s="9">
        <f t="shared" si="6"/>
        <v>0.312714776632302</v>
      </c>
      <c r="AH49" s="20">
        <v>91</v>
      </c>
      <c r="AI49" s="9">
        <f t="shared" si="7"/>
        <v>0.91</v>
      </c>
    </row>
    <row r="50" spans="28:35">
      <c r="AB50" s="20">
        <v>92</v>
      </c>
      <c r="AC50" s="9">
        <f t="shared" si="4"/>
        <v>0.92</v>
      </c>
      <c r="AD50" s="20">
        <v>92</v>
      </c>
      <c r="AE50" s="9">
        <f t="shared" si="5"/>
        <v>0.479166666666667</v>
      </c>
      <c r="AF50" s="20">
        <v>92</v>
      </c>
      <c r="AG50" s="9">
        <f t="shared" si="6"/>
        <v>0.315068493150685</v>
      </c>
      <c r="AH50" s="20">
        <v>92</v>
      </c>
      <c r="AI50" s="9">
        <f t="shared" si="7"/>
        <v>0.92</v>
      </c>
    </row>
    <row r="51" spans="28:35">
      <c r="AB51" s="20">
        <v>93</v>
      </c>
      <c r="AC51" s="9">
        <f t="shared" si="4"/>
        <v>0.93</v>
      </c>
      <c r="AD51" s="20">
        <v>93</v>
      </c>
      <c r="AE51" s="9">
        <f t="shared" si="5"/>
        <v>0.481865284974093</v>
      </c>
      <c r="AF51" s="20">
        <v>93</v>
      </c>
      <c r="AG51" s="9">
        <f t="shared" si="6"/>
        <v>0.31740614334471</v>
      </c>
      <c r="AH51" s="20">
        <v>93</v>
      </c>
      <c r="AI51" s="9">
        <f t="shared" si="7"/>
        <v>0.93</v>
      </c>
    </row>
    <row r="52" spans="28:35">
      <c r="AB52" s="20">
        <v>94</v>
      </c>
      <c r="AC52" s="9">
        <f t="shared" si="4"/>
        <v>0.94</v>
      </c>
      <c r="AD52" s="20">
        <v>94</v>
      </c>
      <c r="AE52" s="9">
        <f t="shared" si="5"/>
        <v>0.484536082474227</v>
      </c>
      <c r="AF52" s="20">
        <v>94</v>
      </c>
      <c r="AG52" s="9">
        <f t="shared" si="6"/>
        <v>0.319727891156463</v>
      </c>
      <c r="AH52" s="20">
        <v>94</v>
      </c>
      <c r="AI52" s="9">
        <f t="shared" si="7"/>
        <v>0.94</v>
      </c>
    </row>
    <row r="53" spans="28:35">
      <c r="AB53" s="20">
        <v>95</v>
      </c>
      <c r="AC53" s="9">
        <f t="shared" si="4"/>
        <v>0.95</v>
      </c>
      <c r="AD53" s="20">
        <v>95</v>
      </c>
      <c r="AE53" s="9">
        <f t="shared" si="5"/>
        <v>0.487179487179487</v>
      </c>
      <c r="AF53" s="20">
        <v>95</v>
      </c>
      <c r="AG53" s="9">
        <f t="shared" si="6"/>
        <v>0.322033898305085</v>
      </c>
      <c r="AH53" s="20">
        <v>95</v>
      </c>
      <c r="AI53" s="9">
        <f t="shared" si="7"/>
        <v>0.95</v>
      </c>
    </row>
    <row r="54" spans="28:35">
      <c r="AB54" s="20">
        <v>96</v>
      </c>
      <c r="AC54" s="9">
        <f t="shared" si="4"/>
        <v>0.96</v>
      </c>
      <c r="AD54" s="20">
        <v>96</v>
      </c>
      <c r="AE54" s="9">
        <f t="shared" si="5"/>
        <v>0.489795918367347</v>
      </c>
      <c r="AF54" s="20">
        <v>96</v>
      </c>
      <c r="AG54" s="9">
        <f t="shared" si="6"/>
        <v>0.324324324324324</v>
      </c>
      <c r="AH54" s="20">
        <v>96</v>
      </c>
      <c r="AI54" s="9">
        <f t="shared" si="7"/>
        <v>0.96</v>
      </c>
    </row>
    <row r="55" spans="28:35">
      <c r="AB55" s="20">
        <v>97</v>
      </c>
      <c r="AC55" s="9">
        <f t="shared" si="4"/>
        <v>0.97</v>
      </c>
      <c r="AD55" s="20">
        <v>97</v>
      </c>
      <c r="AE55" s="9">
        <f t="shared" si="5"/>
        <v>0.49238578680203</v>
      </c>
      <c r="AF55" s="20">
        <v>97</v>
      </c>
      <c r="AG55" s="9">
        <f t="shared" si="6"/>
        <v>0.326599326599327</v>
      </c>
      <c r="AH55" s="20">
        <v>97</v>
      </c>
      <c r="AI55" s="9">
        <f t="shared" si="7"/>
        <v>0.97</v>
      </c>
    </row>
    <row r="56" spans="28:35">
      <c r="AB56" s="20">
        <v>98</v>
      </c>
      <c r="AC56" s="9">
        <f t="shared" si="4"/>
        <v>0.98</v>
      </c>
      <c r="AD56" s="20">
        <v>98</v>
      </c>
      <c r="AE56" s="9">
        <f t="shared" si="5"/>
        <v>0.494949494949495</v>
      </c>
      <c r="AF56" s="20">
        <v>98</v>
      </c>
      <c r="AG56" s="9">
        <f t="shared" si="6"/>
        <v>0.328859060402685</v>
      </c>
      <c r="AH56" s="20">
        <v>98</v>
      </c>
      <c r="AI56" s="9">
        <f t="shared" si="7"/>
        <v>0.98</v>
      </c>
    </row>
    <row r="57" spans="28:35">
      <c r="AB57" s="20">
        <v>99</v>
      </c>
      <c r="AC57" s="9">
        <f t="shared" si="4"/>
        <v>0.99</v>
      </c>
      <c r="AD57" s="20">
        <v>99</v>
      </c>
      <c r="AE57" s="9">
        <f t="shared" si="5"/>
        <v>0.49748743718593</v>
      </c>
      <c r="AF57" s="20">
        <v>99</v>
      </c>
      <c r="AG57" s="9">
        <f t="shared" si="6"/>
        <v>0.331103678929766</v>
      </c>
      <c r="AH57" s="20">
        <v>99</v>
      </c>
      <c r="AI57" s="9">
        <f t="shared" si="7"/>
        <v>0.99</v>
      </c>
    </row>
    <row r="58" spans="28:35">
      <c r="AB58" s="53">
        <v>100</v>
      </c>
      <c r="AC58" s="9">
        <f t="shared" si="4"/>
        <v>1</v>
      </c>
      <c r="AD58" s="20">
        <v>100</v>
      </c>
      <c r="AE58" s="9">
        <f t="shared" si="5"/>
        <v>0.5</v>
      </c>
      <c r="AF58" s="20">
        <v>100</v>
      </c>
      <c r="AG58" s="9">
        <f t="shared" si="6"/>
        <v>0.333333333333333</v>
      </c>
      <c r="AH58" s="20">
        <v>100</v>
      </c>
      <c r="AI58" s="9">
        <f t="shared" si="7"/>
        <v>1</v>
      </c>
    </row>
    <row r="59" spans="28:35">
      <c r="AB59" s="20">
        <v>101</v>
      </c>
      <c r="AC59" s="9">
        <f t="shared" si="4"/>
        <v>1.01</v>
      </c>
      <c r="AD59" s="20">
        <v>101</v>
      </c>
      <c r="AE59" s="9">
        <f t="shared" si="5"/>
        <v>0.502487562189055</v>
      </c>
      <c r="AF59" s="20">
        <v>101</v>
      </c>
      <c r="AG59" s="9">
        <f t="shared" si="6"/>
        <v>0.335548172757475</v>
      </c>
      <c r="AH59" s="20">
        <v>101</v>
      </c>
      <c r="AI59" s="9">
        <f t="shared" si="7"/>
        <v>1.01</v>
      </c>
    </row>
    <row r="60" spans="28:35">
      <c r="AB60" s="20">
        <v>102</v>
      </c>
      <c r="AC60" s="9">
        <f t="shared" si="4"/>
        <v>1.02</v>
      </c>
      <c r="AD60" s="20">
        <v>102</v>
      </c>
      <c r="AE60" s="9">
        <f t="shared" si="5"/>
        <v>0.504950495049505</v>
      </c>
      <c r="AF60" s="20">
        <v>102</v>
      </c>
      <c r="AG60" s="9">
        <f t="shared" si="6"/>
        <v>0.337748344370861</v>
      </c>
      <c r="AH60" s="20">
        <v>102</v>
      </c>
      <c r="AI60" s="9">
        <f t="shared" si="7"/>
        <v>1.02</v>
      </c>
    </row>
    <row r="61" spans="28:35">
      <c r="AB61" s="20">
        <v>103</v>
      </c>
      <c r="AC61" s="9">
        <f t="shared" si="4"/>
        <v>1.03</v>
      </c>
      <c r="AD61" s="20">
        <v>103</v>
      </c>
      <c r="AE61" s="9">
        <f t="shared" si="5"/>
        <v>0.507389162561576</v>
      </c>
      <c r="AF61" s="20">
        <v>103</v>
      </c>
      <c r="AG61" s="9">
        <f t="shared" si="6"/>
        <v>0.33993399339934</v>
      </c>
      <c r="AH61" s="20">
        <v>103</v>
      </c>
      <c r="AI61" s="9">
        <f t="shared" si="7"/>
        <v>1.03</v>
      </c>
    </row>
    <row r="62" spans="28:35">
      <c r="AB62" s="20">
        <v>104</v>
      </c>
      <c r="AC62" s="9">
        <f t="shared" si="4"/>
        <v>1.04</v>
      </c>
      <c r="AD62" s="20">
        <v>104</v>
      </c>
      <c r="AE62" s="9">
        <f t="shared" si="5"/>
        <v>0.509803921568627</v>
      </c>
      <c r="AF62" s="20">
        <v>104</v>
      </c>
      <c r="AG62" s="9">
        <f t="shared" si="6"/>
        <v>0.342105263157895</v>
      </c>
      <c r="AH62" s="20">
        <v>104</v>
      </c>
      <c r="AI62" s="9">
        <f t="shared" si="7"/>
        <v>1.04</v>
      </c>
    </row>
    <row r="63" spans="28:35">
      <c r="AB63" s="20">
        <v>105</v>
      </c>
      <c r="AC63" s="9">
        <f t="shared" si="4"/>
        <v>1.05</v>
      </c>
      <c r="AD63" s="20">
        <v>105</v>
      </c>
      <c r="AE63" s="9">
        <f t="shared" si="5"/>
        <v>0.51219512195122</v>
      </c>
      <c r="AF63" s="20">
        <v>105</v>
      </c>
      <c r="AG63" s="9">
        <f t="shared" si="6"/>
        <v>0.344262295081967</v>
      </c>
      <c r="AH63" s="20">
        <v>105</v>
      </c>
      <c r="AI63" s="9">
        <f t="shared" si="7"/>
        <v>1.05</v>
      </c>
    </row>
    <row r="64" spans="28:35">
      <c r="AB64" s="20">
        <v>106</v>
      </c>
      <c r="AC64" s="9">
        <f t="shared" si="4"/>
        <v>1.06</v>
      </c>
      <c r="AD64" s="20">
        <v>106</v>
      </c>
      <c r="AE64" s="9">
        <f t="shared" si="5"/>
        <v>0.514563106796116</v>
      </c>
      <c r="AF64" s="20">
        <v>106</v>
      </c>
      <c r="AG64" s="9">
        <f t="shared" si="6"/>
        <v>0.34640522875817</v>
      </c>
      <c r="AH64" s="20">
        <v>106</v>
      </c>
      <c r="AI64" s="9">
        <f t="shared" si="7"/>
        <v>1.06</v>
      </c>
    </row>
    <row r="65" spans="28:35">
      <c r="AB65" s="20">
        <v>107</v>
      </c>
      <c r="AC65" s="9">
        <f t="shared" si="4"/>
        <v>1.07</v>
      </c>
      <c r="AD65" s="20">
        <v>107</v>
      </c>
      <c r="AE65" s="9">
        <f t="shared" si="5"/>
        <v>0.516908212560386</v>
      </c>
      <c r="AF65" s="20">
        <v>107</v>
      </c>
      <c r="AG65" s="9">
        <f t="shared" si="6"/>
        <v>0.348534201954397</v>
      </c>
      <c r="AH65" s="20">
        <v>107</v>
      </c>
      <c r="AI65" s="9">
        <f t="shared" si="7"/>
        <v>1.07</v>
      </c>
    </row>
    <row r="66" spans="28:35">
      <c r="AB66" s="20">
        <v>108</v>
      </c>
      <c r="AC66" s="9">
        <f t="shared" si="4"/>
        <v>1.08</v>
      </c>
      <c r="AD66" s="20">
        <v>108</v>
      </c>
      <c r="AE66" s="9">
        <f t="shared" si="5"/>
        <v>0.519230769230769</v>
      </c>
      <c r="AF66" s="20">
        <v>108</v>
      </c>
      <c r="AG66" s="9">
        <f t="shared" si="6"/>
        <v>0.350649350649351</v>
      </c>
      <c r="AH66" s="20">
        <v>108</v>
      </c>
      <c r="AI66" s="9">
        <f t="shared" si="7"/>
        <v>1.08</v>
      </c>
    </row>
    <row r="67" spans="28:35">
      <c r="AB67" s="20">
        <v>109</v>
      </c>
      <c r="AC67" s="9">
        <f t="shared" si="4"/>
        <v>1.09</v>
      </c>
      <c r="AD67" s="20">
        <v>109</v>
      </c>
      <c r="AE67" s="9">
        <f t="shared" si="5"/>
        <v>0.521531100478469</v>
      </c>
      <c r="AF67" s="20">
        <v>109</v>
      </c>
      <c r="AG67" s="9">
        <f t="shared" si="6"/>
        <v>0.352750809061489</v>
      </c>
      <c r="AH67" s="20">
        <v>109</v>
      </c>
      <c r="AI67" s="9">
        <f t="shared" si="7"/>
        <v>1.09</v>
      </c>
    </row>
    <row r="68" spans="28:35">
      <c r="AB68" s="20">
        <v>110</v>
      </c>
      <c r="AC68" s="9">
        <f t="shared" si="4"/>
        <v>1.1</v>
      </c>
      <c r="AD68" s="20">
        <v>110</v>
      </c>
      <c r="AE68" s="9">
        <f t="shared" si="5"/>
        <v>0.523809523809524</v>
      </c>
      <c r="AF68" s="20">
        <v>110</v>
      </c>
      <c r="AG68" s="9">
        <f t="shared" si="6"/>
        <v>0.354838709677419</v>
      </c>
      <c r="AH68" s="20">
        <v>110</v>
      </c>
      <c r="AI68" s="9">
        <f t="shared" si="7"/>
        <v>1.1</v>
      </c>
    </row>
    <row r="69" spans="28:35">
      <c r="AB69" s="20">
        <v>111</v>
      </c>
      <c r="AC69" s="9">
        <f t="shared" si="4"/>
        <v>1.11</v>
      </c>
      <c r="AD69" s="20">
        <v>111</v>
      </c>
      <c r="AE69" s="9">
        <f t="shared" si="5"/>
        <v>0.5260663507109</v>
      </c>
      <c r="AF69" s="20">
        <v>111</v>
      </c>
      <c r="AG69" s="9">
        <f t="shared" si="6"/>
        <v>0.356913183279743</v>
      </c>
      <c r="AH69" s="20">
        <v>111</v>
      </c>
      <c r="AI69" s="9">
        <f t="shared" si="7"/>
        <v>1.11</v>
      </c>
    </row>
    <row r="70" spans="28:35">
      <c r="AB70" s="20">
        <v>112</v>
      </c>
      <c r="AC70" s="9">
        <f t="shared" si="4"/>
        <v>1.12</v>
      </c>
      <c r="AD70" s="20">
        <v>112</v>
      </c>
      <c r="AE70" s="9">
        <f t="shared" si="5"/>
        <v>0.528301886792453</v>
      </c>
      <c r="AF70" s="20">
        <v>112</v>
      </c>
      <c r="AG70" s="9">
        <f t="shared" si="6"/>
        <v>0.358974358974359</v>
      </c>
      <c r="AH70" s="20">
        <v>112</v>
      </c>
      <c r="AI70" s="9">
        <f t="shared" si="7"/>
        <v>1.12</v>
      </c>
    </row>
    <row r="71" spans="28:35">
      <c r="AB71" s="20">
        <v>113</v>
      </c>
      <c r="AC71" s="9">
        <f t="shared" si="4"/>
        <v>1.13</v>
      </c>
      <c r="AD71" s="20">
        <v>113</v>
      </c>
      <c r="AE71" s="9">
        <f t="shared" si="5"/>
        <v>0.530516431924883</v>
      </c>
      <c r="AF71" s="20">
        <v>113</v>
      </c>
      <c r="AG71" s="9">
        <f t="shared" si="6"/>
        <v>0.361022364217252</v>
      </c>
      <c r="AH71" s="20">
        <v>113</v>
      </c>
      <c r="AI71" s="9">
        <f t="shared" si="7"/>
        <v>1.13</v>
      </c>
    </row>
    <row r="72" spans="28:35">
      <c r="AB72" s="20">
        <v>114</v>
      </c>
      <c r="AC72" s="9">
        <f t="shared" si="4"/>
        <v>1.14</v>
      </c>
      <c r="AD72" s="20">
        <v>114</v>
      </c>
      <c r="AE72" s="9">
        <f t="shared" si="5"/>
        <v>0.532710280373832</v>
      </c>
      <c r="AF72" s="20">
        <v>114</v>
      </c>
      <c r="AG72" s="9">
        <f t="shared" si="6"/>
        <v>0.363057324840764</v>
      </c>
      <c r="AH72" s="20">
        <v>114</v>
      </c>
      <c r="AI72" s="9">
        <f t="shared" si="7"/>
        <v>1.14</v>
      </c>
    </row>
    <row r="73" spans="28:35">
      <c r="AB73" s="20">
        <v>115</v>
      </c>
      <c r="AC73" s="9">
        <f t="shared" si="4"/>
        <v>1.15</v>
      </c>
      <c r="AD73" s="20">
        <v>115</v>
      </c>
      <c r="AE73" s="9">
        <f t="shared" si="5"/>
        <v>0.534883720930233</v>
      </c>
      <c r="AF73" s="20">
        <v>115</v>
      </c>
      <c r="AG73" s="9">
        <f t="shared" si="6"/>
        <v>0.365079365079365</v>
      </c>
      <c r="AH73" s="20">
        <v>115</v>
      </c>
      <c r="AI73" s="9">
        <f t="shared" si="7"/>
        <v>1.15</v>
      </c>
    </row>
    <row r="74" spans="28:35">
      <c r="AB74" s="20">
        <v>116</v>
      </c>
      <c r="AC74" s="9">
        <f t="shared" si="4"/>
        <v>1.16</v>
      </c>
      <c r="AD74" s="20">
        <v>116</v>
      </c>
      <c r="AE74" s="9">
        <f t="shared" si="5"/>
        <v>0.537037037037037</v>
      </c>
      <c r="AF74" s="20">
        <v>116</v>
      </c>
      <c r="AG74" s="9">
        <f t="shared" si="6"/>
        <v>0.367088607594937</v>
      </c>
      <c r="AH74" s="20">
        <v>116</v>
      </c>
      <c r="AI74" s="9">
        <f t="shared" si="7"/>
        <v>1.16</v>
      </c>
    </row>
    <row r="75" spans="28:35">
      <c r="AB75" s="20">
        <v>117</v>
      </c>
      <c r="AC75" s="9">
        <f t="shared" si="4"/>
        <v>1.17</v>
      </c>
      <c r="AD75" s="20">
        <v>117</v>
      </c>
      <c r="AE75" s="9">
        <f t="shared" si="5"/>
        <v>0.539170506912442</v>
      </c>
      <c r="AF75" s="20">
        <v>117</v>
      </c>
      <c r="AG75" s="9">
        <f t="shared" si="6"/>
        <v>0.369085173501577</v>
      </c>
      <c r="AH75" s="20">
        <v>117</v>
      </c>
      <c r="AI75" s="9">
        <f t="shared" si="7"/>
        <v>1.17</v>
      </c>
    </row>
    <row r="76" spans="28:35">
      <c r="AB76" s="20">
        <v>118</v>
      </c>
      <c r="AC76" s="9">
        <f t="shared" si="4"/>
        <v>1.18</v>
      </c>
      <c r="AD76" s="20">
        <v>118</v>
      </c>
      <c r="AE76" s="9">
        <f t="shared" si="5"/>
        <v>0.541284403669725</v>
      </c>
      <c r="AF76" s="20">
        <v>118</v>
      </c>
      <c r="AG76" s="9">
        <f t="shared" si="6"/>
        <v>0.371069182389937</v>
      </c>
      <c r="AH76" s="20">
        <v>118</v>
      </c>
      <c r="AI76" s="9">
        <f t="shared" si="7"/>
        <v>1.18</v>
      </c>
    </row>
    <row r="77" spans="28:35">
      <c r="AB77" s="20">
        <v>119</v>
      </c>
      <c r="AC77" s="9">
        <f t="shared" si="4"/>
        <v>1.19</v>
      </c>
      <c r="AD77" s="20">
        <v>119</v>
      </c>
      <c r="AE77" s="9">
        <f t="shared" si="5"/>
        <v>0.54337899543379</v>
      </c>
      <c r="AF77" s="20">
        <v>119</v>
      </c>
      <c r="AG77" s="9">
        <f t="shared" si="6"/>
        <v>0.373040752351097</v>
      </c>
      <c r="AH77" s="20">
        <v>119</v>
      </c>
      <c r="AI77" s="9">
        <f t="shared" si="7"/>
        <v>1.19</v>
      </c>
    </row>
    <row r="78" spans="28:35">
      <c r="AB78" s="20">
        <v>120</v>
      </c>
      <c r="AC78" s="9">
        <f t="shared" si="4"/>
        <v>1.2</v>
      </c>
      <c r="AD78" s="20">
        <v>120</v>
      </c>
      <c r="AE78" s="9">
        <f t="shared" si="5"/>
        <v>0.545454545454545</v>
      </c>
      <c r="AF78" s="20">
        <v>120</v>
      </c>
      <c r="AG78" s="9">
        <f t="shared" si="6"/>
        <v>0.375</v>
      </c>
      <c r="AH78" s="20">
        <v>120</v>
      </c>
      <c r="AI78" s="9">
        <f t="shared" si="7"/>
        <v>1.2</v>
      </c>
    </row>
    <row r="79" spans="28:35">
      <c r="AB79" s="20">
        <v>121</v>
      </c>
      <c r="AC79" s="9">
        <f t="shared" si="4"/>
        <v>1.21</v>
      </c>
      <c r="AD79" s="20">
        <v>121</v>
      </c>
      <c r="AE79" s="9">
        <f t="shared" si="5"/>
        <v>0.547511312217195</v>
      </c>
      <c r="AF79" s="20">
        <v>121</v>
      </c>
      <c r="AG79" s="9">
        <f t="shared" si="6"/>
        <v>0.376947040498442</v>
      </c>
      <c r="AH79" s="20">
        <v>121</v>
      </c>
      <c r="AI79" s="9">
        <f t="shared" si="7"/>
        <v>1.21</v>
      </c>
    </row>
    <row r="80" spans="28:35">
      <c r="AB80" s="20">
        <v>122</v>
      </c>
      <c r="AC80" s="9">
        <f t="shared" si="4"/>
        <v>1.22</v>
      </c>
      <c r="AD80" s="20">
        <v>122</v>
      </c>
      <c r="AE80" s="9">
        <f t="shared" si="5"/>
        <v>0.54954954954955</v>
      </c>
      <c r="AF80" s="20">
        <v>122</v>
      </c>
      <c r="AG80" s="9">
        <f t="shared" si="6"/>
        <v>0.37888198757764</v>
      </c>
      <c r="AH80" s="20">
        <v>122</v>
      </c>
      <c r="AI80" s="9">
        <f t="shared" si="7"/>
        <v>1.22</v>
      </c>
    </row>
    <row r="81" spans="28:35">
      <c r="AB81" s="20">
        <v>123</v>
      </c>
      <c r="AC81" s="9">
        <f t="shared" si="4"/>
        <v>1.23</v>
      </c>
      <c r="AD81" s="20">
        <v>123</v>
      </c>
      <c r="AE81" s="9">
        <f t="shared" si="5"/>
        <v>0.551569506726457</v>
      </c>
      <c r="AF81" s="20">
        <v>123</v>
      </c>
      <c r="AG81" s="9">
        <f t="shared" si="6"/>
        <v>0.380804953560372</v>
      </c>
      <c r="AH81" s="20">
        <v>123</v>
      </c>
      <c r="AI81" s="9">
        <f t="shared" si="7"/>
        <v>1.23</v>
      </c>
    </row>
    <row r="82" spans="28:35">
      <c r="AB82" s="20">
        <v>124</v>
      </c>
      <c r="AC82" s="9">
        <f t="shared" si="4"/>
        <v>1.24</v>
      </c>
      <c r="AD82" s="20">
        <v>124</v>
      </c>
      <c r="AE82" s="9">
        <f t="shared" si="5"/>
        <v>0.553571428571429</v>
      </c>
      <c r="AF82" s="20">
        <v>124</v>
      </c>
      <c r="AG82" s="9">
        <f t="shared" si="6"/>
        <v>0.382716049382716</v>
      </c>
      <c r="AH82" s="20">
        <v>124</v>
      </c>
      <c r="AI82" s="9">
        <f t="shared" si="7"/>
        <v>1.24</v>
      </c>
    </row>
    <row r="83" spans="28:35">
      <c r="AB83" s="20">
        <v>125</v>
      </c>
      <c r="AC83" s="9">
        <f t="shared" si="4"/>
        <v>1.25</v>
      </c>
      <c r="AD83" s="20">
        <v>125</v>
      </c>
      <c r="AE83" s="9">
        <f t="shared" si="5"/>
        <v>0.555555555555556</v>
      </c>
      <c r="AF83" s="20">
        <v>125</v>
      </c>
      <c r="AG83" s="9">
        <f t="shared" si="6"/>
        <v>0.384615384615385</v>
      </c>
      <c r="AH83" s="20">
        <v>125</v>
      </c>
      <c r="AI83" s="9">
        <f t="shared" si="7"/>
        <v>1.25</v>
      </c>
    </row>
    <row r="84" spans="28:35">
      <c r="AB84" s="20">
        <v>126</v>
      </c>
      <c r="AC84" s="9">
        <f t="shared" si="4"/>
        <v>1.26</v>
      </c>
      <c r="AD84" s="20">
        <v>126</v>
      </c>
      <c r="AE84" s="9">
        <f t="shared" si="5"/>
        <v>0.557522123893805</v>
      </c>
      <c r="AF84" s="20">
        <v>126</v>
      </c>
      <c r="AG84" s="9">
        <f t="shared" si="6"/>
        <v>0.386503067484663</v>
      </c>
      <c r="AH84" s="20">
        <v>126</v>
      </c>
      <c r="AI84" s="9">
        <f t="shared" si="7"/>
        <v>1.26</v>
      </c>
    </row>
    <row r="85" spans="28:35">
      <c r="AB85" s="20">
        <v>127</v>
      </c>
      <c r="AC85" s="9">
        <f t="shared" si="4"/>
        <v>1.27</v>
      </c>
      <c r="AD85" s="20">
        <v>127</v>
      </c>
      <c r="AE85" s="9">
        <f t="shared" si="5"/>
        <v>0.559471365638767</v>
      </c>
      <c r="AF85" s="20">
        <v>127</v>
      </c>
      <c r="AG85" s="9">
        <f t="shared" si="6"/>
        <v>0.388379204892966</v>
      </c>
      <c r="AH85" s="20">
        <v>127</v>
      </c>
      <c r="AI85" s="9">
        <f t="shared" si="7"/>
        <v>1.27</v>
      </c>
    </row>
    <row r="86" spans="28:35">
      <c r="AB86" s="20">
        <v>128</v>
      </c>
      <c r="AC86" s="9">
        <f t="shared" si="4"/>
        <v>1.28</v>
      </c>
      <c r="AD86" s="20">
        <v>128</v>
      </c>
      <c r="AE86" s="9">
        <f t="shared" si="5"/>
        <v>0.56140350877193</v>
      </c>
      <c r="AF86" s="20">
        <v>128</v>
      </c>
      <c r="AG86" s="9">
        <f t="shared" si="6"/>
        <v>0.390243902439024</v>
      </c>
      <c r="AH86" s="20">
        <v>128</v>
      </c>
      <c r="AI86" s="9">
        <f t="shared" si="7"/>
        <v>1.28</v>
      </c>
    </row>
    <row r="87" spans="28:35">
      <c r="AB87" s="20">
        <v>129</v>
      </c>
      <c r="AC87" s="9">
        <f t="shared" si="4"/>
        <v>1.29</v>
      </c>
      <c r="AD87" s="20">
        <v>129</v>
      </c>
      <c r="AE87" s="9">
        <f t="shared" si="5"/>
        <v>0.563318777292576</v>
      </c>
      <c r="AF87" s="20">
        <v>129</v>
      </c>
      <c r="AG87" s="9">
        <f t="shared" si="6"/>
        <v>0.39209726443769</v>
      </c>
      <c r="AH87" s="20">
        <v>129</v>
      </c>
      <c r="AI87" s="9">
        <f t="shared" si="7"/>
        <v>1.29</v>
      </c>
    </row>
    <row r="88" spans="28:35">
      <c r="AB88" s="20">
        <v>130</v>
      </c>
      <c r="AC88" s="9">
        <f t="shared" ref="AC88:AC151" si="8">$AB88/100</f>
        <v>1.3</v>
      </c>
      <c r="AD88" s="20">
        <v>130</v>
      </c>
      <c r="AE88" s="9">
        <f t="shared" ref="AE88:AE151" si="9">$AD88/($AD88+100)</f>
        <v>0.565217391304348</v>
      </c>
      <c r="AF88" s="20">
        <v>130</v>
      </c>
      <c r="AG88" s="9">
        <f t="shared" ref="AG88:AG151" si="10">$AF88/($AF88+200)</f>
        <v>0.393939393939394</v>
      </c>
      <c r="AH88" s="20">
        <v>130</v>
      </c>
      <c r="AI88" s="9">
        <f t="shared" ref="AI88:AI151" si="11">$AH88*0.01</f>
        <v>1.3</v>
      </c>
    </row>
    <row r="89" spans="28:35">
      <c r="AB89" s="20">
        <v>131</v>
      </c>
      <c r="AC89" s="9">
        <f t="shared" si="8"/>
        <v>1.31</v>
      </c>
      <c r="AD89" s="20">
        <v>131</v>
      </c>
      <c r="AE89" s="9">
        <f t="shared" si="9"/>
        <v>0.567099567099567</v>
      </c>
      <c r="AF89" s="20">
        <v>131</v>
      </c>
      <c r="AG89" s="9">
        <f t="shared" si="10"/>
        <v>0.395770392749245</v>
      </c>
      <c r="AH89" s="20">
        <v>131</v>
      </c>
      <c r="AI89" s="9">
        <f t="shared" si="11"/>
        <v>1.31</v>
      </c>
    </row>
    <row r="90" spans="28:35">
      <c r="AB90" s="20">
        <v>132</v>
      </c>
      <c r="AC90" s="9">
        <f t="shared" si="8"/>
        <v>1.32</v>
      </c>
      <c r="AD90" s="20">
        <v>132</v>
      </c>
      <c r="AE90" s="9">
        <f t="shared" si="9"/>
        <v>0.568965517241379</v>
      </c>
      <c r="AF90" s="20">
        <v>132</v>
      </c>
      <c r="AG90" s="9">
        <f t="shared" si="10"/>
        <v>0.397590361445783</v>
      </c>
      <c r="AH90" s="20">
        <v>132</v>
      </c>
      <c r="AI90" s="9">
        <f t="shared" si="11"/>
        <v>1.32</v>
      </c>
    </row>
    <row r="91" spans="28:35">
      <c r="AB91" s="20">
        <v>133</v>
      </c>
      <c r="AC91" s="9">
        <f t="shared" si="8"/>
        <v>1.33</v>
      </c>
      <c r="AD91" s="20">
        <v>133</v>
      </c>
      <c r="AE91" s="9">
        <f t="shared" si="9"/>
        <v>0.570815450643777</v>
      </c>
      <c r="AF91" s="20">
        <v>133</v>
      </c>
      <c r="AG91" s="9">
        <f t="shared" si="10"/>
        <v>0.399399399399399</v>
      </c>
      <c r="AH91" s="20">
        <v>133</v>
      </c>
      <c r="AI91" s="9">
        <f t="shared" si="11"/>
        <v>1.33</v>
      </c>
    </row>
    <row r="92" spans="28:35">
      <c r="AB92" s="20">
        <v>134</v>
      </c>
      <c r="AC92" s="9">
        <f t="shared" si="8"/>
        <v>1.34</v>
      </c>
      <c r="AD92" s="20">
        <v>134</v>
      </c>
      <c r="AE92" s="9">
        <f t="shared" si="9"/>
        <v>0.572649572649573</v>
      </c>
      <c r="AF92" s="20">
        <v>134</v>
      </c>
      <c r="AG92" s="9">
        <f t="shared" si="10"/>
        <v>0.401197604790419</v>
      </c>
      <c r="AH92" s="20">
        <v>134</v>
      </c>
      <c r="AI92" s="9">
        <f t="shared" si="11"/>
        <v>1.34</v>
      </c>
    </row>
    <row r="93" spans="28:35">
      <c r="AB93" s="20">
        <v>135</v>
      </c>
      <c r="AC93" s="9">
        <f t="shared" si="8"/>
        <v>1.35</v>
      </c>
      <c r="AD93" s="20">
        <v>135</v>
      </c>
      <c r="AE93" s="9">
        <f t="shared" si="9"/>
        <v>0.574468085106383</v>
      </c>
      <c r="AF93" s="20">
        <v>135</v>
      </c>
      <c r="AG93" s="9">
        <f t="shared" si="10"/>
        <v>0.402985074626866</v>
      </c>
      <c r="AH93" s="20">
        <v>135</v>
      </c>
      <c r="AI93" s="9">
        <f t="shared" si="11"/>
        <v>1.35</v>
      </c>
    </row>
    <row r="94" spans="28:35">
      <c r="AB94" s="20">
        <v>136</v>
      </c>
      <c r="AC94" s="9">
        <f t="shared" si="8"/>
        <v>1.36</v>
      </c>
      <c r="AD94" s="20">
        <v>136</v>
      </c>
      <c r="AE94" s="9">
        <f t="shared" si="9"/>
        <v>0.576271186440678</v>
      </c>
      <c r="AF94" s="20">
        <v>136</v>
      </c>
      <c r="AG94" s="9">
        <f t="shared" si="10"/>
        <v>0.404761904761905</v>
      </c>
      <c r="AH94" s="20">
        <v>136</v>
      </c>
      <c r="AI94" s="9">
        <f t="shared" si="11"/>
        <v>1.36</v>
      </c>
    </row>
    <row r="95" spans="28:35">
      <c r="AB95" s="20">
        <v>137</v>
      </c>
      <c r="AC95" s="9">
        <f t="shared" si="8"/>
        <v>1.37</v>
      </c>
      <c r="AD95" s="20">
        <v>137</v>
      </c>
      <c r="AE95" s="9">
        <f t="shared" si="9"/>
        <v>0.578059071729958</v>
      </c>
      <c r="AF95" s="20">
        <v>137</v>
      </c>
      <c r="AG95" s="9">
        <f t="shared" si="10"/>
        <v>0.406528189910979</v>
      </c>
      <c r="AH95" s="20">
        <v>137</v>
      </c>
      <c r="AI95" s="9">
        <f t="shared" si="11"/>
        <v>1.37</v>
      </c>
    </row>
    <row r="96" spans="28:35">
      <c r="AB96" s="20">
        <v>138</v>
      </c>
      <c r="AC96" s="9">
        <f t="shared" si="8"/>
        <v>1.38</v>
      </c>
      <c r="AD96" s="20">
        <v>138</v>
      </c>
      <c r="AE96" s="9">
        <f t="shared" si="9"/>
        <v>0.579831932773109</v>
      </c>
      <c r="AF96" s="20">
        <v>138</v>
      </c>
      <c r="AG96" s="9">
        <f t="shared" si="10"/>
        <v>0.408284023668639</v>
      </c>
      <c r="AH96" s="20">
        <v>138</v>
      </c>
      <c r="AI96" s="9">
        <f t="shared" si="11"/>
        <v>1.38</v>
      </c>
    </row>
    <row r="97" spans="28:35">
      <c r="AB97" s="20">
        <v>139</v>
      </c>
      <c r="AC97" s="9">
        <f t="shared" si="8"/>
        <v>1.39</v>
      </c>
      <c r="AD97" s="20">
        <v>139</v>
      </c>
      <c r="AE97" s="9">
        <f t="shared" si="9"/>
        <v>0.581589958158996</v>
      </c>
      <c r="AF97" s="20">
        <v>139</v>
      </c>
      <c r="AG97" s="9">
        <f t="shared" si="10"/>
        <v>0.410029498525074</v>
      </c>
      <c r="AH97" s="20">
        <v>139</v>
      </c>
      <c r="AI97" s="9">
        <f t="shared" si="11"/>
        <v>1.39</v>
      </c>
    </row>
    <row r="98" spans="28:35">
      <c r="AB98" s="20">
        <v>140</v>
      </c>
      <c r="AC98" s="9">
        <f t="shared" si="8"/>
        <v>1.4</v>
      </c>
      <c r="AD98" s="20">
        <v>140</v>
      </c>
      <c r="AE98" s="9">
        <f t="shared" si="9"/>
        <v>0.583333333333333</v>
      </c>
      <c r="AF98" s="20">
        <v>140</v>
      </c>
      <c r="AG98" s="9">
        <f t="shared" si="10"/>
        <v>0.411764705882353</v>
      </c>
      <c r="AH98" s="20">
        <v>140</v>
      </c>
      <c r="AI98" s="9">
        <f t="shared" si="11"/>
        <v>1.4</v>
      </c>
    </row>
    <row r="99" spans="28:35">
      <c r="AB99" s="20">
        <v>141</v>
      </c>
      <c r="AC99" s="9">
        <f t="shared" si="8"/>
        <v>1.41</v>
      </c>
      <c r="AD99" s="20">
        <v>141</v>
      </c>
      <c r="AE99" s="9">
        <f t="shared" si="9"/>
        <v>0.5850622406639</v>
      </c>
      <c r="AF99" s="20">
        <v>141</v>
      </c>
      <c r="AG99" s="9">
        <f t="shared" si="10"/>
        <v>0.413489736070381</v>
      </c>
      <c r="AH99" s="20">
        <v>141</v>
      </c>
      <c r="AI99" s="9">
        <f t="shared" si="11"/>
        <v>1.41</v>
      </c>
    </row>
    <row r="100" spans="28:35">
      <c r="AB100" s="20">
        <v>142</v>
      </c>
      <c r="AC100" s="9">
        <f t="shared" si="8"/>
        <v>1.42</v>
      </c>
      <c r="AD100" s="20">
        <v>142</v>
      </c>
      <c r="AE100" s="9">
        <f t="shared" si="9"/>
        <v>0.586776859504132</v>
      </c>
      <c r="AF100" s="20">
        <v>142</v>
      </c>
      <c r="AG100" s="9">
        <f t="shared" si="10"/>
        <v>0.415204678362573</v>
      </c>
      <c r="AH100" s="20">
        <v>142</v>
      </c>
      <c r="AI100" s="9">
        <f t="shared" si="11"/>
        <v>1.42</v>
      </c>
    </row>
    <row r="101" spans="28:35">
      <c r="AB101" s="20">
        <v>143</v>
      </c>
      <c r="AC101" s="9">
        <f t="shared" si="8"/>
        <v>1.43</v>
      </c>
      <c r="AD101" s="20">
        <v>143</v>
      </c>
      <c r="AE101" s="9">
        <f t="shared" si="9"/>
        <v>0.588477366255144</v>
      </c>
      <c r="AF101" s="20">
        <v>143</v>
      </c>
      <c r="AG101" s="9">
        <f t="shared" si="10"/>
        <v>0.416909620991254</v>
      </c>
      <c r="AH101" s="20">
        <v>143</v>
      </c>
      <c r="AI101" s="9">
        <f t="shared" si="11"/>
        <v>1.43</v>
      </c>
    </row>
    <row r="102" spans="28:35">
      <c r="AB102" s="20">
        <v>144</v>
      </c>
      <c r="AC102" s="9">
        <f t="shared" si="8"/>
        <v>1.44</v>
      </c>
      <c r="AD102" s="20">
        <v>144</v>
      </c>
      <c r="AE102" s="9">
        <f t="shared" si="9"/>
        <v>0.590163934426229</v>
      </c>
      <c r="AF102" s="20">
        <v>144</v>
      </c>
      <c r="AG102" s="9">
        <f t="shared" si="10"/>
        <v>0.418604651162791</v>
      </c>
      <c r="AH102" s="20">
        <v>144</v>
      </c>
      <c r="AI102" s="9">
        <f t="shared" si="11"/>
        <v>1.44</v>
      </c>
    </row>
    <row r="103" spans="28:35">
      <c r="AB103" s="20">
        <v>145</v>
      </c>
      <c r="AC103" s="9">
        <f t="shared" si="8"/>
        <v>1.45</v>
      </c>
      <c r="AD103" s="20">
        <v>145</v>
      </c>
      <c r="AE103" s="9">
        <f t="shared" si="9"/>
        <v>0.591836734693878</v>
      </c>
      <c r="AF103" s="20">
        <v>145</v>
      </c>
      <c r="AG103" s="9">
        <f t="shared" si="10"/>
        <v>0.420289855072464</v>
      </c>
      <c r="AH103" s="20">
        <v>145</v>
      </c>
      <c r="AI103" s="9">
        <f t="shared" si="11"/>
        <v>1.45</v>
      </c>
    </row>
    <row r="104" spans="28:35">
      <c r="AB104" s="20">
        <v>146</v>
      </c>
      <c r="AC104" s="9">
        <f t="shared" si="8"/>
        <v>1.46</v>
      </c>
      <c r="AD104" s="20">
        <v>146</v>
      </c>
      <c r="AE104" s="9">
        <f t="shared" si="9"/>
        <v>0.59349593495935</v>
      </c>
      <c r="AF104" s="20">
        <v>146</v>
      </c>
      <c r="AG104" s="9">
        <f t="shared" si="10"/>
        <v>0.421965317919075</v>
      </c>
      <c r="AH104" s="20">
        <v>146</v>
      </c>
      <c r="AI104" s="9">
        <f t="shared" si="11"/>
        <v>1.46</v>
      </c>
    </row>
    <row r="105" spans="28:35">
      <c r="AB105" s="20">
        <v>147</v>
      </c>
      <c r="AC105" s="9">
        <f t="shared" si="8"/>
        <v>1.47</v>
      </c>
      <c r="AD105" s="20">
        <v>147</v>
      </c>
      <c r="AE105" s="9">
        <f t="shared" si="9"/>
        <v>0.595141700404858</v>
      </c>
      <c r="AF105" s="20">
        <v>147</v>
      </c>
      <c r="AG105" s="9">
        <f t="shared" si="10"/>
        <v>0.423631123919308</v>
      </c>
      <c r="AH105" s="20">
        <v>147</v>
      </c>
      <c r="AI105" s="9">
        <f t="shared" si="11"/>
        <v>1.47</v>
      </c>
    </row>
    <row r="106" spans="28:35">
      <c r="AB106" s="20">
        <v>148</v>
      </c>
      <c r="AC106" s="9">
        <f t="shared" si="8"/>
        <v>1.48</v>
      </c>
      <c r="AD106" s="20">
        <v>148</v>
      </c>
      <c r="AE106" s="9">
        <f t="shared" si="9"/>
        <v>0.596774193548387</v>
      </c>
      <c r="AF106" s="20">
        <v>148</v>
      </c>
      <c r="AG106" s="9">
        <f t="shared" si="10"/>
        <v>0.425287356321839</v>
      </c>
      <c r="AH106" s="20">
        <v>148</v>
      </c>
      <c r="AI106" s="9">
        <f t="shared" si="11"/>
        <v>1.48</v>
      </c>
    </row>
    <row r="107" spans="28:35">
      <c r="AB107" s="20">
        <v>149</v>
      </c>
      <c r="AC107" s="9">
        <f t="shared" si="8"/>
        <v>1.49</v>
      </c>
      <c r="AD107" s="20">
        <v>149</v>
      </c>
      <c r="AE107" s="9">
        <f t="shared" si="9"/>
        <v>0.598393574297189</v>
      </c>
      <c r="AF107" s="20">
        <v>149</v>
      </c>
      <c r="AG107" s="9">
        <f t="shared" si="10"/>
        <v>0.426934097421203</v>
      </c>
      <c r="AH107" s="20">
        <v>149</v>
      </c>
      <c r="AI107" s="9">
        <f t="shared" si="11"/>
        <v>1.49</v>
      </c>
    </row>
    <row r="108" spans="28:35">
      <c r="AB108" s="20">
        <v>150</v>
      </c>
      <c r="AC108" s="9">
        <f t="shared" si="8"/>
        <v>1.5</v>
      </c>
      <c r="AD108" s="20">
        <v>150</v>
      </c>
      <c r="AE108" s="9">
        <f t="shared" si="9"/>
        <v>0.6</v>
      </c>
      <c r="AF108" s="20">
        <v>150</v>
      </c>
      <c r="AG108" s="9">
        <f t="shared" si="10"/>
        <v>0.428571428571429</v>
      </c>
      <c r="AH108" s="20">
        <v>150</v>
      </c>
      <c r="AI108" s="9">
        <f t="shared" si="11"/>
        <v>1.5</v>
      </c>
    </row>
    <row r="109" spans="28:35">
      <c r="AB109" s="20">
        <v>151</v>
      </c>
      <c r="AC109" s="9">
        <f t="shared" si="8"/>
        <v>1.51</v>
      </c>
      <c r="AD109" s="20">
        <v>151</v>
      </c>
      <c r="AE109" s="9">
        <f t="shared" si="9"/>
        <v>0.601593625498008</v>
      </c>
      <c r="AF109" s="20">
        <v>151</v>
      </c>
      <c r="AG109" s="9">
        <f t="shared" si="10"/>
        <v>0.43019943019943</v>
      </c>
      <c r="AH109" s="20">
        <v>151</v>
      </c>
      <c r="AI109" s="9">
        <f t="shared" si="11"/>
        <v>1.51</v>
      </c>
    </row>
    <row r="110" spans="28:35">
      <c r="AB110" s="20">
        <v>152</v>
      </c>
      <c r="AC110" s="9">
        <f t="shared" si="8"/>
        <v>1.52</v>
      </c>
      <c r="AD110" s="20">
        <v>152</v>
      </c>
      <c r="AE110" s="9">
        <f t="shared" si="9"/>
        <v>0.603174603174603</v>
      </c>
      <c r="AF110" s="20">
        <v>152</v>
      </c>
      <c r="AG110" s="9">
        <f t="shared" si="10"/>
        <v>0.431818181818182</v>
      </c>
      <c r="AH110" s="20">
        <v>152</v>
      </c>
      <c r="AI110" s="9">
        <f t="shared" si="11"/>
        <v>1.52</v>
      </c>
    </row>
    <row r="111" spans="28:35">
      <c r="AB111" s="20">
        <v>153</v>
      </c>
      <c r="AC111" s="9">
        <f t="shared" si="8"/>
        <v>1.53</v>
      </c>
      <c r="AD111" s="20">
        <v>153</v>
      </c>
      <c r="AE111" s="9">
        <f t="shared" si="9"/>
        <v>0.604743083003953</v>
      </c>
      <c r="AF111" s="20">
        <v>153</v>
      </c>
      <c r="AG111" s="9">
        <f t="shared" si="10"/>
        <v>0.43342776203966</v>
      </c>
      <c r="AH111" s="20">
        <v>153</v>
      </c>
      <c r="AI111" s="9">
        <f t="shared" si="11"/>
        <v>1.53</v>
      </c>
    </row>
    <row r="112" spans="28:35">
      <c r="AB112" s="20">
        <v>154</v>
      </c>
      <c r="AC112" s="9">
        <f t="shared" si="8"/>
        <v>1.54</v>
      </c>
      <c r="AD112" s="20">
        <v>154</v>
      </c>
      <c r="AE112" s="9">
        <f t="shared" si="9"/>
        <v>0.606299212598425</v>
      </c>
      <c r="AF112" s="20">
        <v>154</v>
      </c>
      <c r="AG112" s="9">
        <f t="shared" si="10"/>
        <v>0.435028248587571</v>
      </c>
      <c r="AH112" s="20">
        <v>154</v>
      </c>
      <c r="AI112" s="9">
        <f t="shared" si="11"/>
        <v>1.54</v>
      </c>
    </row>
    <row r="113" spans="28:35">
      <c r="AB113" s="20">
        <v>155</v>
      </c>
      <c r="AC113" s="9">
        <f t="shared" si="8"/>
        <v>1.55</v>
      </c>
      <c r="AD113" s="20">
        <v>155</v>
      </c>
      <c r="AE113" s="9">
        <f t="shared" si="9"/>
        <v>0.607843137254902</v>
      </c>
      <c r="AF113" s="20">
        <v>155</v>
      </c>
      <c r="AG113" s="9">
        <f t="shared" si="10"/>
        <v>0.436619718309859</v>
      </c>
      <c r="AH113" s="20">
        <v>155</v>
      </c>
      <c r="AI113" s="9">
        <f t="shared" si="11"/>
        <v>1.55</v>
      </c>
    </row>
    <row r="114" spans="28:35">
      <c r="AB114" s="20">
        <v>156</v>
      </c>
      <c r="AC114" s="9">
        <f t="shared" si="8"/>
        <v>1.56</v>
      </c>
      <c r="AD114" s="20">
        <v>156</v>
      </c>
      <c r="AE114" s="9">
        <f t="shared" si="9"/>
        <v>0.609375</v>
      </c>
      <c r="AF114" s="20">
        <v>156</v>
      </c>
      <c r="AG114" s="9">
        <f t="shared" si="10"/>
        <v>0.438202247191011</v>
      </c>
      <c r="AH114" s="20">
        <v>156</v>
      </c>
      <c r="AI114" s="9">
        <f t="shared" si="11"/>
        <v>1.56</v>
      </c>
    </row>
    <row r="115" spans="28:35">
      <c r="AB115" s="20">
        <v>157</v>
      </c>
      <c r="AC115" s="9">
        <f t="shared" si="8"/>
        <v>1.57</v>
      </c>
      <c r="AD115" s="20">
        <v>157</v>
      </c>
      <c r="AE115" s="9">
        <f t="shared" si="9"/>
        <v>0.610894941634241</v>
      </c>
      <c r="AF115" s="20">
        <v>157</v>
      </c>
      <c r="AG115" s="9">
        <f t="shared" si="10"/>
        <v>0.439775910364146</v>
      </c>
      <c r="AH115" s="20">
        <v>157</v>
      </c>
      <c r="AI115" s="9">
        <f t="shared" si="11"/>
        <v>1.57</v>
      </c>
    </row>
    <row r="116" spans="28:35">
      <c r="AB116" s="20">
        <v>158</v>
      </c>
      <c r="AC116" s="9">
        <f t="shared" si="8"/>
        <v>1.58</v>
      </c>
      <c r="AD116" s="20">
        <v>158</v>
      </c>
      <c r="AE116" s="9">
        <f t="shared" si="9"/>
        <v>0.612403100775194</v>
      </c>
      <c r="AF116" s="20">
        <v>158</v>
      </c>
      <c r="AG116" s="9">
        <f t="shared" si="10"/>
        <v>0.441340782122905</v>
      </c>
      <c r="AH116" s="20">
        <v>158</v>
      </c>
      <c r="AI116" s="9">
        <f t="shared" si="11"/>
        <v>1.58</v>
      </c>
    </row>
    <row r="117" spans="28:35">
      <c r="AB117" s="20">
        <v>159</v>
      </c>
      <c r="AC117" s="9">
        <f t="shared" si="8"/>
        <v>1.59</v>
      </c>
      <c r="AD117" s="20">
        <v>159</v>
      </c>
      <c r="AE117" s="9">
        <f t="shared" si="9"/>
        <v>0.613899613899614</v>
      </c>
      <c r="AF117" s="20">
        <v>159</v>
      </c>
      <c r="AG117" s="9">
        <f t="shared" si="10"/>
        <v>0.442896935933148</v>
      </c>
      <c r="AH117" s="20">
        <v>159</v>
      </c>
      <c r="AI117" s="9">
        <f t="shared" si="11"/>
        <v>1.59</v>
      </c>
    </row>
    <row r="118" spans="28:35">
      <c r="AB118" s="20">
        <v>160</v>
      </c>
      <c r="AC118" s="9">
        <f t="shared" si="8"/>
        <v>1.6</v>
      </c>
      <c r="AD118" s="20">
        <v>160</v>
      </c>
      <c r="AE118" s="9">
        <f t="shared" si="9"/>
        <v>0.615384615384615</v>
      </c>
      <c r="AF118" s="20">
        <v>160</v>
      </c>
      <c r="AG118" s="9">
        <f t="shared" si="10"/>
        <v>0.444444444444444</v>
      </c>
      <c r="AH118" s="20">
        <v>160</v>
      </c>
      <c r="AI118" s="9">
        <f t="shared" si="11"/>
        <v>1.6</v>
      </c>
    </row>
    <row r="119" spans="28:35">
      <c r="AB119" s="20">
        <v>161</v>
      </c>
      <c r="AC119" s="9">
        <f t="shared" si="8"/>
        <v>1.61</v>
      </c>
      <c r="AD119" s="20">
        <v>161</v>
      </c>
      <c r="AE119" s="9">
        <f t="shared" si="9"/>
        <v>0.616858237547893</v>
      </c>
      <c r="AF119" s="20">
        <v>161</v>
      </c>
      <c r="AG119" s="9">
        <f t="shared" si="10"/>
        <v>0.445983379501385</v>
      </c>
      <c r="AH119" s="20">
        <v>161</v>
      </c>
      <c r="AI119" s="9">
        <f t="shared" si="11"/>
        <v>1.61</v>
      </c>
    </row>
    <row r="120" spans="28:35">
      <c r="AB120" s="20">
        <v>162</v>
      </c>
      <c r="AC120" s="9">
        <f t="shared" si="8"/>
        <v>1.62</v>
      </c>
      <c r="AD120" s="20">
        <v>162</v>
      </c>
      <c r="AE120" s="9">
        <f t="shared" si="9"/>
        <v>0.618320610687023</v>
      </c>
      <c r="AF120" s="20">
        <v>162</v>
      </c>
      <c r="AG120" s="9">
        <f t="shared" si="10"/>
        <v>0.447513812154696</v>
      </c>
      <c r="AH120" s="20">
        <v>162</v>
      </c>
      <c r="AI120" s="9">
        <f t="shared" si="11"/>
        <v>1.62</v>
      </c>
    </row>
    <row r="121" spans="28:35">
      <c r="AB121" s="20">
        <v>163</v>
      </c>
      <c r="AC121" s="9">
        <f t="shared" si="8"/>
        <v>1.63</v>
      </c>
      <c r="AD121" s="20">
        <v>163</v>
      </c>
      <c r="AE121" s="9">
        <f t="shared" si="9"/>
        <v>0.619771863117871</v>
      </c>
      <c r="AF121" s="20">
        <v>163</v>
      </c>
      <c r="AG121" s="9">
        <f t="shared" si="10"/>
        <v>0.449035812672176</v>
      </c>
      <c r="AH121" s="20">
        <v>163</v>
      </c>
      <c r="AI121" s="9">
        <f t="shared" si="11"/>
        <v>1.63</v>
      </c>
    </row>
    <row r="122" spans="28:35">
      <c r="AB122" s="20">
        <v>164</v>
      </c>
      <c r="AC122" s="9">
        <f t="shared" si="8"/>
        <v>1.64</v>
      </c>
      <c r="AD122" s="20">
        <v>164</v>
      </c>
      <c r="AE122" s="9">
        <f t="shared" si="9"/>
        <v>0.621212121212121</v>
      </c>
      <c r="AF122" s="20">
        <v>164</v>
      </c>
      <c r="AG122" s="9">
        <f t="shared" si="10"/>
        <v>0.450549450549451</v>
      </c>
      <c r="AH122" s="20">
        <v>164</v>
      </c>
      <c r="AI122" s="9">
        <f t="shared" si="11"/>
        <v>1.64</v>
      </c>
    </row>
    <row r="123" spans="28:35">
      <c r="AB123" s="20">
        <v>165</v>
      </c>
      <c r="AC123" s="9">
        <f t="shared" si="8"/>
        <v>1.65</v>
      </c>
      <c r="AD123" s="20">
        <v>165</v>
      </c>
      <c r="AE123" s="9">
        <f t="shared" si="9"/>
        <v>0.622641509433962</v>
      </c>
      <c r="AF123" s="20">
        <v>165</v>
      </c>
      <c r="AG123" s="9">
        <f t="shared" si="10"/>
        <v>0.452054794520548</v>
      </c>
      <c r="AH123" s="20">
        <v>165</v>
      </c>
      <c r="AI123" s="9">
        <f t="shared" si="11"/>
        <v>1.65</v>
      </c>
    </row>
    <row r="124" spans="28:35">
      <c r="AB124" s="20">
        <v>166</v>
      </c>
      <c r="AC124" s="9">
        <f t="shared" si="8"/>
        <v>1.66</v>
      </c>
      <c r="AD124" s="20">
        <v>166</v>
      </c>
      <c r="AE124" s="9">
        <f t="shared" si="9"/>
        <v>0.62406015037594</v>
      </c>
      <c r="AF124" s="20">
        <v>166</v>
      </c>
      <c r="AG124" s="9">
        <f t="shared" si="10"/>
        <v>0.453551912568306</v>
      </c>
      <c r="AH124" s="20">
        <v>166</v>
      </c>
      <c r="AI124" s="9">
        <f t="shared" si="11"/>
        <v>1.66</v>
      </c>
    </row>
    <row r="125" spans="28:35">
      <c r="AB125" s="20">
        <v>167</v>
      </c>
      <c r="AC125" s="9">
        <f t="shared" si="8"/>
        <v>1.67</v>
      </c>
      <c r="AD125" s="20">
        <v>167</v>
      </c>
      <c r="AE125" s="9">
        <f t="shared" si="9"/>
        <v>0.625468164794007</v>
      </c>
      <c r="AF125" s="20">
        <v>167</v>
      </c>
      <c r="AG125" s="9">
        <f t="shared" si="10"/>
        <v>0.455040871934605</v>
      </c>
      <c r="AH125" s="20">
        <v>167</v>
      </c>
      <c r="AI125" s="9">
        <f t="shared" si="11"/>
        <v>1.67</v>
      </c>
    </row>
    <row r="126" spans="28:35">
      <c r="AB126" s="20">
        <v>168</v>
      </c>
      <c r="AC126" s="9">
        <f t="shared" si="8"/>
        <v>1.68</v>
      </c>
      <c r="AD126" s="20">
        <v>168</v>
      </c>
      <c r="AE126" s="9">
        <f t="shared" si="9"/>
        <v>0.626865671641791</v>
      </c>
      <c r="AF126" s="20">
        <v>168</v>
      </c>
      <c r="AG126" s="9">
        <f t="shared" si="10"/>
        <v>0.456521739130435</v>
      </c>
      <c r="AH126" s="20">
        <v>168</v>
      </c>
      <c r="AI126" s="9">
        <f t="shared" si="11"/>
        <v>1.68</v>
      </c>
    </row>
    <row r="127" spans="28:35">
      <c r="AB127" s="20">
        <v>169</v>
      </c>
      <c r="AC127" s="9">
        <f t="shared" si="8"/>
        <v>1.69</v>
      </c>
      <c r="AD127" s="20">
        <v>169</v>
      </c>
      <c r="AE127" s="9">
        <f t="shared" si="9"/>
        <v>0.628252788104089</v>
      </c>
      <c r="AF127" s="20">
        <v>169</v>
      </c>
      <c r="AG127" s="9">
        <f t="shared" si="10"/>
        <v>0.457994579945799</v>
      </c>
      <c r="AH127" s="20">
        <v>169</v>
      </c>
      <c r="AI127" s="9">
        <f t="shared" si="11"/>
        <v>1.69</v>
      </c>
    </row>
    <row r="128" spans="28:35">
      <c r="AB128" s="20">
        <v>170</v>
      </c>
      <c r="AC128" s="9">
        <f t="shared" si="8"/>
        <v>1.7</v>
      </c>
      <c r="AD128" s="20">
        <v>170</v>
      </c>
      <c r="AE128" s="9">
        <f t="shared" si="9"/>
        <v>0.62962962962963</v>
      </c>
      <c r="AF128" s="20">
        <v>170</v>
      </c>
      <c r="AG128" s="9">
        <f t="shared" si="10"/>
        <v>0.459459459459459</v>
      </c>
      <c r="AH128" s="20">
        <v>170</v>
      </c>
      <c r="AI128" s="9">
        <f t="shared" si="11"/>
        <v>1.7</v>
      </c>
    </row>
    <row r="129" spans="28:35">
      <c r="AB129" s="20">
        <v>171</v>
      </c>
      <c r="AC129" s="9">
        <f t="shared" si="8"/>
        <v>1.71</v>
      </c>
      <c r="AD129" s="20">
        <v>171</v>
      </c>
      <c r="AE129" s="9">
        <f t="shared" si="9"/>
        <v>0.6309963099631</v>
      </c>
      <c r="AF129" s="20">
        <v>171</v>
      </c>
      <c r="AG129" s="9">
        <f t="shared" si="10"/>
        <v>0.460916442048518</v>
      </c>
      <c r="AH129" s="20">
        <v>171</v>
      </c>
      <c r="AI129" s="9">
        <f t="shared" si="11"/>
        <v>1.71</v>
      </c>
    </row>
    <row r="130" spans="28:35">
      <c r="AB130" s="20">
        <v>172</v>
      </c>
      <c r="AC130" s="9">
        <f t="shared" si="8"/>
        <v>1.72</v>
      </c>
      <c r="AD130" s="20">
        <v>172</v>
      </c>
      <c r="AE130" s="9">
        <f t="shared" si="9"/>
        <v>0.632352941176471</v>
      </c>
      <c r="AF130" s="20">
        <v>172</v>
      </c>
      <c r="AG130" s="9">
        <f t="shared" si="10"/>
        <v>0.462365591397849</v>
      </c>
      <c r="AH130" s="20">
        <v>172</v>
      </c>
      <c r="AI130" s="9">
        <f t="shared" si="11"/>
        <v>1.72</v>
      </c>
    </row>
    <row r="131" spans="28:35">
      <c r="AB131" s="20">
        <v>173</v>
      </c>
      <c r="AC131" s="9">
        <f t="shared" si="8"/>
        <v>1.73</v>
      </c>
      <c r="AD131" s="20">
        <v>173</v>
      </c>
      <c r="AE131" s="9">
        <f t="shared" si="9"/>
        <v>0.633699633699634</v>
      </c>
      <c r="AF131" s="20">
        <v>173</v>
      </c>
      <c r="AG131" s="9">
        <f t="shared" si="10"/>
        <v>0.463806970509383</v>
      </c>
      <c r="AH131" s="20">
        <v>173</v>
      </c>
      <c r="AI131" s="9">
        <f t="shared" si="11"/>
        <v>1.73</v>
      </c>
    </row>
    <row r="132" spans="28:35">
      <c r="AB132" s="20">
        <v>174</v>
      </c>
      <c r="AC132" s="9">
        <f t="shared" si="8"/>
        <v>1.74</v>
      </c>
      <c r="AD132" s="20">
        <v>174</v>
      </c>
      <c r="AE132" s="9">
        <f t="shared" si="9"/>
        <v>0.635036496350365</v>
      </c>
      <c r="AF132" s="20">
        <v>174</v>
      </c>
      <c r="AG132" s="9">
        <f t="shared" si="10"/>
        <v>0.46524064171123</v>
      </c>
      <c r="AH132" s="20">
        <v>174</v>
      </c>
      <c r="AI132" s="9">
        <f t="shared" si="11"/>
        <v>1.74</v>
      </c>
    </row>
    <row r="133" spans="28:35">
      <c r="AB133" s="20">
        <v>175</v>
      </c>
      <c r="AC133" s="9">
        <f t="shared" si="8"/>
        <v>1.75</v>
      </c>
      <c r="AD133" s="20">
        <v>175</v>
      </c>
      <c r="AE133" s="9">
        <f t="shared" si="9"/>
        <v>0.636363636363636</v>
      </c>
      <c r="AF133" s="20">
        <v>175</v>
      </c>
      <c r="AG133" s="9">
        <f t="shared" si="10"/>
        <v>0.466666666666667</v>
      </c>
      <c r="AH133" s="20">
        <v>175</v>
      </c>
      <c r="AI133" s="9">
        <f t="shared" si="11"/>
        <v>1.75</v>
      </c>
    </row>
    <row r="134" spans="28:35">
      <c r="AB134" s="20">
        <v>176</v>
      </c>
      <c r="AC134" s="9">
        <f t="shared" si="8"/>
        <v>1.76</v>
      </c>
      <c r="AD134" s="20">
        <v>176</v>
      </c>
      <c r="AE134" s="9">
        <f t="shared" si="9"/>
        <v>0.63768115942029</v>
      </c>
      <c r="AF134" s="20">
        <v>176</v>
      </c>
      <c r="AG134" s="9">
        <f t="shared" si="10"/>
        <v>0.468085106382979</v>
      </c>
      <c r="AH134" s="20">
        <v>176</v>
      </c>
      <c r="AI134" s="9">
        <f t="shared" si="11"/>
        <v>1.76</v>
      </c>
    </row>
    <row r="135" spans="28:35">
      <c r="AB135" s="20">
        <v>177</v>
      </c>
      <c r="AC135" s="9">
        <f t="shared" si="8"/>
        <v>1.77</v>
      </c>
      <c r="AD135" s="20">
        <v>177</v>
      </c>
      <c r="AE135" s="9">
        <f t="shared" si="9"/>
        <v>0.63898916967509</v>
      </c>
      <c r="AF135" s="20">
        <v>177</v>
      </c>
      <c r="AG135" s="9">
        <f t="shared" si="10"/>
        <v>0.469496021220159</v>
      </c>
      <c r="AH135" s="20">
        <v>177</v>
      </c>
      <c r="AI135" s="9">
        <f t="shared" si="11"/>
        <v>1.77</v>
      </c>
    </row>
    <row r="136" spans="28:35">
      <c r="AB136" s="20">
        <v>178</v>
      </c>
      <c r="AC136" s="9">
        <f t="shared" si="8"/>
        <v>1.78</v>
      </c>
      <c r="AD136" s="20">
        <v>178</v>
      </c>
      <c r="AE136" s="9">
        <f t="shared" si="9"/>
        <v>0.640287769784173</v>
      </c>
      <c r="AF136" s="20">
        <v>178</v>
      </c>
      <c r="AG136" s="9">
        <f t="shared" si="10"/>
        <v>0.470899470899471</v>
      </c>
      <c r="AH136" s="20">
        <v>178</v>
      </c>
      <c r="AI136" s="9">
        <f t="shared" si="11"/>
        <v>1.78</v>
      </c>
    </row>
    <row r="137" spans="28:35">
      <c r="AB137" s="20">
        <v>179</v>
      </c>
      <c r="AC137" s="9">
        <f t="shared" si="8"/>
        <v>1.79</v>
      </c>
      <c r="AD137" s="20">
        <v>179</v>
      </c>
      <c r="AE137" s="9">
        <f t="shared" si="9"/>
        <v>0.6415770609319</v>
      </c>
      <c r="AF137" s="20">
        <v>179</v>
      </c>
      <c r="AG137" s="9">
        <f t="shared" si="10"/>
        <v>0.472295514511873</v>
      </c>
      <c r="AH137" s="20">
        <v>179</v>
      </c>
      <c r="AI137" s="9">
        <f t="shared" si="11"/>
        <v>1.79</v>
      </c>
    </row>
    <row r="138" spans="28:35">
      <c r="AB138" s="20">
        <v>180</v>
      </c>
      <c r="AC138" s="9">
        <f t="shared" si="8"/>
        <v>1.8</v>
      </c>
      <c r="AD138" s="20">
        <v>180</v>
      </c>
      <c r="AE138" s="9">
        <f t="shared" si="9"/>
        <v>0.642857142857143</v>
      </c>
      <c r="AF138" s="20">
        <v>180</v>
      </c>
      <c r="AG138" s="9">
        <f t="shared" si="10"/>
        <v>0.473684210526316</v>
      </c>
      <c r="AH138" s="20">
        <v>180</v>
      </c>
      <c r="AI138" s="9">
        <f t="shared" si="11"/>
        <v>1.8</v>
      </c>
    </row>
    <row r="139" spans="28:35">
      <c r="AB139" s="20">
        <v>181</v>
      </c>
      <c r="AC139" s="9">
        <f t="shared" si="8"/>
        <v>1.81</v>
      </c>
      <c r="AD139" s="20">
        <v>181</v>
      </c>
      <c r="AE139" s="9">
        <f t="shared" si="9"/>
        <v>0.644128113879004</v>
      </c>
      <c r="AF139" s="20">
        <v>181</v>
      </c>
      <c r="AG139" s="9">
        <f t="shared" si="10"/>
        <v>0.4750656167979</v>
      </c>
      <c r="AH139" s="20">
        <v>181</v>
      </c>
      <c r="AI139" s="9">
        <f t="shared" si="11"/>
        <v>1.81</v>
      </c>
    </row>
    <row r="140" spans="28:35">
      <c r="AB140" s="20">
        <v>182</v>
      </c>
      <c r="AC140" s="9">
        <f t="shared" si="8"/>
        <v>1.82</v>
      </c>
      <c r="AD140" s="20">
        <v>182</v>
      </c>
      <c r="AE140" s="9">
        <f t="shared" si="9"/>
        <v>0.645390070921986</v>
      </c>
      <c r="AF140" s="20">
        <v>182</v>
      </c>
      <c r="AG140" s="9">
        <f t="shared" si="10"/>
        <v>0.476439790575916</v>
      </c>
      <c r="AH140" s="20">
        <v>182</v>
      </c>
      <c r="AI140" s="9">
        <f t="shared" si="11"/>
        <v>1.82</v>
      </c>
    </row>
    <row r="141" spans="28:35">
      <c r="AB141" s="20">
        <v>183</v>
      </c>
      <c r="AC141" s="9">
        <f t="shared" si="8"/>
        <v>1.83</v>
      </c>
      <c r="AD141" s="20">
        <v>183</v>
      </c>
      <c r="AE141" s="9">
        <f t="shared" si="9"/>
        <v>0.646643109540636</v>
      </c>
      <c r="AF141" s="20">
        <v>183</v>
      </c>
      <c r="AG141" s="9">
        <f t="shared" si="10"/>
        <v>0.477806788511749</v>
      </c>
      <c r="AH141" s="20">
        <v>183</v>
      </c>
      <c r="AI141" s="9">
        <f t="shared" si="11"/>
        <v>1.83</v>
      </c>
    </row>
    <row r="142" spans="28:35">
      <c r="AB142" s="20">
        <v>184</v>
      </c>
      <c r="AC142" s="9">
        <f t="shared" si="8"/>
        <v>1.84</v>
      </c>
      <c r="AD142" s="20">
        <v>184</v>
      </c>
      <c r="AE142" s="9">
        <f t="shared" si="9"/>
        <v>0.647887323943662</v>
      </c>
      <c r="AF142" s="20">
        <v>184</v>
      </c>
      <c r="AG142" s="9">
        <f t="shared" si="10"/>
        <v>0.479166666666667</v>
      </c>
      <c r="AH142" s="20">
        <v>184</v>
      </c>
      <c r="AI142" s="9">
        <f t="shared" si="11"/>
        <v>1.84</v>
      </c>
    </row>
    <row r="143" spans="28:35">
      <c r="AB143" s="20">
        <v>185</v>
      </c>
      <c r="AC143" s="9">
        <f t="shared" si="8"/>
        <v>1.85</v>
      </c>
      <c r="AD143" s="20">
        <v>185</v>
      </c>
      <c r="AE143" s="9">
        <f t="shared" si="9"/>
        <v>0.649122807017544</v>
      </c>
      <c r="AF143" s="20">
        <v>185</v>
      </c>
      <c r="AG143" s="9">
        <f t="shared" si="10"/>
        <v>0.480519480519481</v>
      </c>
      <c r="AH143" s="20">
        <v>185</v>
      </c>
      <c r="AI143" s="9">
        <f t="shared" si="11"/>
        <v>1.85</v>
      </c>
    </row>
    <row r="144" spans="28:35">
      <c r="AB144" s="20">
        <v>186</v>
      </c>
      <c r="AC144" s="9">
        <f t="shared" si="8"/>
        <v>1.86</v>
      </c>
      <c r="AD144" s="20">
        <v>186</v>
      </c>
      <c r="AE144" s="9">
        <f t="shared" si="9"/>
        <v>0.65034965034965</v>
      </c>
      <c r="AF144" s="20">
        <v>186</v>
      </c>
      <c r="AG144" s="9">
        <f t="shared" si="10"/>
        <v>0.481865284974093</v>
      </c>
      <c r="AH144" s="20">
        <v>186</v>
      </c>
      <c r="AI144" s="9">
        <f t="shared" si="11"/>
        <v>1.86</v>
      </c>
    </row>
    <row r="145" spans="28:35">
      <c r="AB145" s="20">
        <v>187</v>
      </c>
      <c r="AC145" s="9">
        <f t="shared" si="8"/>
        <v>1.87</v>
      </c>
      <c r="AD145" s="20">
        <v>187</v>
      </c>
      <c r="AE145" s="9">
        <f t="shared" si="9"/>
        <v>0.651567944250871</v>
      </c>
      <c r="AF145" s="20">
        <v>187</v>
      </c>
      <c r="AG145" s="9">
        <f t="shared" si="10"/>
        <v>0.483204134366925</v>
      </c>
      <c r="AH145" s="20">
        <v>187</v>
      </c>
      <c r="AI145" s="9">
        <f t="shared" si="11"/>
        <v>1.87</v>
      </c>
    </row>
    <row r="146" spans="28:35">
      <c r="AB146" s="20">
        <v>188</v>
      </c>
      <c r="AC146" s="9">
        <f t="shared" si="8"/>
        <v>1.88</v>
      </c>
      <c r="AD146" s="20">
        <v>188</v>
      </c>
      <c r="AE146" s="9">
        <f t="shared" si="9"/>
        <v>0.652777777777778</v>
      </c>
      <c r="AF146" s="20">
        <v>188</v>
      </c>
      <c r="AG146" s="9">
        <f t="shared" si="10"/>
        <v>0.484536082474227</v>
      </c>
      <c r="AH146" s="20">
        <v>188</v>
      </c>
      <c r="AI146" s="9">
        <f t="shared" si="11"/>
        <v>1.88</v>
      </c>
    </row>
    <row r="147" spans="28:35">
      <c r="AB147" s="20">
        <v>189</v>
      </c>
      <c r="AC147" s="9">
        <f t="shared" si="8"/>
        <v>1.89</v>
      </c>
      <c r="AD147" s="20">
        <v>189</v>
      </c>
      <c r="AE147" s="9">
        <f t="shared" si="9"/>
        <v>0.653979238754325</v>
      </c>
      <c r="AF147" s="20">
        <v>189</v>
      </c>
      <c r="AG147" s="9">
        <f t="shared" si="10"/>
        <v>0.48586118251928</v>
      </c>
      <c r="AH147" s="20">
        <v>189</v>
      </c>
      <c r="AI147" s="9">
        <f t="shared" si="11"/>
        <v>1.89</v>
      </c>
    </row>
    <row r="148" spans="28:35">
      <c r="AB148" s="20">
        <v>190</v>
      </c>
      <c r="AC148" s="9">
        <f t="shared" si="8"/>
        <v>1.9</v>
      </c>
      <c r="AD148" s="20">
        <v>190</v>
      </c>
      <c r="AE148" s="9">
        <f t="shared" si="9"/>
        <v>0.655172413793103</v>
      </c>
      <c r="AF148" s="20">
        <v>190</v>
      </c>
      <c r="AG148" s="9">
        <f t="shared" si="10"/>
        <v>0.487179487179487</v>
      </c>
      <c r="AH148" s="20">
        <v>190</v>
      </c>
      <c r="AI148" s="9">
        <f t="shared" si="11"/>
        <v>1.9</v>
      </c>
    </row>
    <row r="149" spans="28:35">
      <c r="AB149" s="20">
        <v>191</v>
      </c>
      <c r="AC149" s="9">
        <f t="shared" si="8"/>
        <v>1.91</v>
      </c>
      <c r="AD149" s="20">
        <v>191</v>
      </c>
      <c r="AE149" s="9">
        <f t="shared" si="9"/>
        <v>0.656357388316151</v>
      </c>
      <c r="AF149" s="20">
        <v>191</v>
      </c>
      <c r="AG149" s="9">
        <f t="shared" si="10"/>
        <v>0.48849104859335</v>
      </c>
      <c r="AH149" s="20">
        <v>191</v>
      </c>
      <c r="AI149" s="9">
        <f t="shared" si="11"/>
        <v>1.91</v>
      </c>
    </row>
    <row r="150" spans="28:35">
      <c r="AB150" s="20">
        <v>192</v>
      </c>
      <c r="AC150" s="9">
        <f t="shared" si="8"/>
        <v>1.92</v>
      </c>
      <c r="AD150" s="20">
        <v>192</v>
      </c>
      <c r="AE150" s="9">
        <f t="shared" si="9"/>
        <v>0.657534246575342</v>
      </c>
      <c r="AF150" s="20">
        <v>192</v>
      </c>
      <c r="AG150" s="9">
        <f t="shared" si="10"/>
        <v>0.489795918367347</v>
      </c>
      <c r="AH150" s="20">
        <v>192</v>
      </c>
      <c r="AI150" s="9">
        <f t="shared" si="11"/>
        <v>1.92</v>
      </c>
    </row>
    <row r="151" spans="28:35">
      <c r="AB151" s="20">
        <v>193</v>
      </c>
      <c r="AC151" s="9">
        <f t="shared" si="8"/>
        <v>1.93</v>
      </c>
      <c r="AD151" s="20">
        <v>193</v>
      </c>
      <c r="AE151" s="9">
        <f t="shared" si="9"/>
        <v>0.658703071672355</v>
      </c>
      <c r="AF151" s="20">
        <v>193</v>
      </c>
      <c r="AG151" s="9">
        <f t="shared" si="10"/>
        <v>0.491094147582697</v>
      </c>
      <c r="AH151" s="20">
        <v>193</v>
      </c>
      <c r="AI151" s="9">
        <f t="shared" si="11"/>
        <v>1.93</v>
      </c>
    </row>
    <row r="152" spans="28:35">
      <c r="AB152" s="20">
        <v>194</v>
      </c>
      <c r="AC152" s="9">
        <f t="shared" ref="AC152:AC158" si="12">$AB152/100</f>
        <v>1.94</v>
      </c>
      <c r="AD152" s="20">
        <v>194</v>
      </c>
      <c r="AE152" s="9">
        <f t="shared" ref="AE152:AE158" si="13">$AD152/($AD152+100)</f>
        <v>0.659863945578231</v>
      </c>
      <c r="AF152" s="20">
        <v>194</v>
      </c>
      <c r="AG152" s="9">
        <f t="shared" ref="AG152:AG158" si="14">$AF152/($AF152+200)</f>
        <v>0.49238578680203</v>
      </c>
      <c r="AH152" s="20">
        <v>194</v>
      </c>
      <c r="AI152" s="9">
        <f t="shared" ref="AI152:AI158" si="15">$AH152*0.01</f>
        <v>1.94</v>
      </c>
    </row>
    <row r="153" spans="28:35">
      <c r="AB153" s="20">
        <v>195</v>
      </c>
      <c r="AC153" s="9">
        <f t="shared" si="12"/>
        <v>1.95</v>
      </c>
      <c r="AD153" s="20">
        <v>195</v>
      </c>
      <c r="AE153" s="9">
        <f t="shared" si="13"/>
        <v>0.661016949152542</v>
      </c>
      <c r="AF153" s="20">
        <v>195</v>
      </c>
      <c r="AG153" s="9">
        <f t="shared" si="14"/>
        <v>0.493670886075949</v>
      </c>
      <c r="AH153" s="20">
        <v>195</v>
      </c>
      <c r="AI153" s="9">
        <f t="shared" si="15"/>
        <v>1.95</v>
      </c>
    </row>
    <row r="154" spans="28:35">
      <c r="AB154" s="20">
        <v>196</v>
      </c>
      <c r="AC154" s="9">
        <f t="shared" si="12"/>
        <v>1.96</v>
      </c>
      <c r="AD154" s="20">
        <v>196</v>
      </c>
      <c r="AE154" s="9">
        <f t="shared" si="13"/>
        <v>0.662162162162162</v>
      </c>
      <c r="AF154" s="20">
        <v>196</v>
      </c>
      <c r="AG154" s="9">
        <f t="shared" si="14"/>
        <v>0.494949494949495</v>
      </c>
      <c r="AH154" s="20">
        <v>196</v>
      </c>
      <c r="AI154" s="9">
        <f t="shared" si="15"/>
        <v>1.96</v>
      </c>
    </row>
    <row r="155" spans="28:35">
      <c r="AB155" s="20">
        <v>197</v>
      </c>
      <c r="AC155" s="9">
        <f t="shared" si="12"/>
        <v>1.97</v>
      </c>
      <c r="AD155" s="20">
        <v>197</v>
      </c>
      <c r="AE155" s="9">
        <f t="shared" si="13"/>
        <v>0.663299663299663</v>
      </c>
      <c r="AF155" s="20">
        <v>197</v>
      </c>
      <c r="AG155" s="9">
        <f t="shared" si="14"/>
        <v>0.496221662468514</v>
      </c>
      <c r="AH155" s="20">
        <v>197</v>
      </c>
      <c r="AI155" s="9">
        <f t="shared" si="15"/>
        <v>1.97</v>
      </c>
    </row>
    <row r="156" spans="28:35">
      <c r="AB156" s="20">
        <v>198</v>
      </c>
      <c r="AC156" s="9">
        <f t="shared" si="12"/>
        <v>1.98</v>
      </c>
      <c r="AD156" s="20">
        <v>198</v>
      </c>
      <c r="AE156" s="9">
        <f t="shared" si="13"/>
        <v>0.664429530201342</v>
      </c>
      <c r="AF156" s="20">
        <v>198</v>
      </c>
      <c r="AG156" s="9">
        <f t="shared" si="14"/>
        <v>0.49748743718593</v>
      </c>
      <c r="AH156" s="20">
        <v>198</v>
      </c>
      <c r="AI156" s="9">
        <f t="shared" si="15"/>
        <v>1.98</v>
      </c>
    </row>
    <row r="157" spans="28:35">
      <c r="AB157" s="20">
        <v>199</v>
      </c>
      <c r="AC157" s="9">
        <f t="shared" si="12"/>
        <v>1.99</v>
      </c>
      <c r="AD157" s="20">
        <v>199</v>
      </c>
      <c r="AE157" s="9">
        <f t="shared" si="13"/>
        <v>0.665551839464883</v>
      </c>
      <c r="AF157" s="20">
        <v>199</v>
      </c>
      <c r="AG157" s="9">
        <f t="shared" si="14"/>
        <v>0.49874686716792</v>
      </c>
      <c r="AH157" s="20">
        <v>199</v>
      </c>
      <c r="AI157" s="9">
        <f t="shared" si="15"/>
        <v>1.99</v>
      </c>
    </row>
    <row r="158" spans="28:35">
      <c r="AB158" s="20">
        <v>200</v>
      </c>
      <c r="AC158" s="9">
        <f t="shared" si="12"/>
        <v>2</v>
      </c>
      <c r="AD158" s="20">
        <v>200</v>
      </c>
      <c r="AE158" s="9">
        <f t="shared" si="13"/>
        <v>0.666666666666667</v>
      </c>
      <c r="AF158" s="20">
        <v>200</v>
      </c>
      <c r="AG158" s="9">
        <f t="shared" si="14"/>
        <v>0.5</v>
      </c>
      <c r="AH158" s="20">
        <v>200</v>
      </c>
      <c r="AI158" s="9">
        <f t="shared" si="15"/>
        <v>2</v>
      </c>
    </row>
  </sheetData>
  <conditionalFormatting sqref="G3">
    <cfRule type="cellIs" dxfId="28" priority="24" operator="greaterThan">
      <formula>1</formula>
    </cfRule>
  </conditionalFormatting>
  <conditionalFormatting sqref="G4:G16">
    <cfRule type="cellIs" dxfId="28" priority="23" operator="greaterThan">
      <formula>1</formula>
    </cfRule>
  </conditionalFormatting>
  <conditionalFormatting sqref="O1:O3 O11">
    <cfRule type="cellIs" dxfId="29" priority="31" stopIfTrue="1" operator="equal">
      <formula>"物理"</formula>
    </cfRule>
    <cfRule type="cellIs" dxfId="30" priority="31" stopIfTrue="1" operator="equal">
      <formula>"魔法"</formula>
    </cfRule>
  </conditionalFormatting>
  <conditionalFormatting sqref="P2:P3 Q11 Q1:Q2 Q4 P10:P11">
    <cfRule type="cellIs" dxfId="31" priority="28" stopIfTrue="1" operator="equal">
      <formula>"物理"</formula>
    </cfRule>
    <cfRule type="cellIs" dxfId="32" priority="29" stopIfTrue="1" operator="equal">
      <formula>"魔法"</formula>
    </cfRule>
    <cfRule type="cellIs" priority="30" stopIfTrue="1" operator="equal">
      <formula>"无"</formula>
    </cfRule>
  </conditionalFormatting>
  <conditionalFormatting sqref="G2 G17:G18">
    <cfRule type="cellIs" dxfId="28" priority="25" operator="greaterThan">
      <formula>1</formula>
    </cfRule>
  </conditionalFormatting>
  <conditionalFormatting sqref="O10 Y2">
    <cfRule type="cellIs" dxfId="29" priority="32" stopIfTrue="1" operator="equal">
      <formula>"物理"</formula>
    </cfRule>
    <cfRule type="cellIs" dxfId="30" priority="32" stopIfTrue="1" operator="equal">
      <formula>"魔法"</formula>
    </cfRule>
  </conditionalFormatting>
  <dataValidations count="4">
    <dataValidation type="list" allowBlank="1" showInputMessage="1" showErrorMessage="1" sqref="E2:E16 E17:E18">
      <formula1>$S$2:$S$3</formula1>
    </dataValidation>
    <dataValidation type="list" allowBlank="1" showInputMessage="1" showErrorMessage="1" sqref="F2:F16">
      <formula1>$U$2:$U$16</formula1>
    </dataValidation>
    <dataValidation type="list" allowBlank="1" showInputMessage="1" showErrorMessage="1" sqref="F17:F18 I17:I18">
      <formula1>#REF!</formula1>
    </dataValidation>
    <dataValidation type="list" allowBlank="1" showInputMessage="1" showErrorMessage="1" sqref="I2:I16">
      <formula1>$W$2:$W$16</formula1>
    </dataValidation>
  </dataValidations>
  <pageMargins left="0.699305555555556" right="0.699305555555556" top="0.75" bottom="0.75" header="0.3" footer="0.3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工作簿索引</vt:lpstr>
      <vt:lpstr>基本数据</vt:lpstr>
      <vt:lpstr>Demon</vt:lpstr>
      <vt:lpstr>DemonLevel</vt:lpstr>
      <vt:lpstr>DemonSkill</vt:lpstr>
      <vt:lpstr>DemonSkillEffect</vt:lpstr>
      <vt:lpstr>DemonSkillLevel</vt:lpstr>
      <vt:lpstr>技能平衡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</dc:creator>
  <cp:lastModifiedBy>老比样</cp:lastModifiedBy>
  <dcterms:created xsi:type="dcterms:W3CDTF">2014-04-30T08:12:00Z</dcterms:created>
  <dcterms:modified xsi:type="dcterms:W3CDTF">2017-12-11T08:44:01Z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