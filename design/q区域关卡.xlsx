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635" tabRatio="869" activeTab="1"/>
  </bookViews>
  <sheets>
    <sheet name="Area" sheetId="1" r:id="rId1"/>
    <sheet name="计算" sheetId="2" r:id="rId2"/>
  </sheets>
  <calcPr calcId="144525" concurrentCalc="0"/>
</workbook>
</file>

<file path=xl/comments1.xml><?xml version="1.0" encoding="utf-8"?>
<comments xmlns="http://schemas.openxmlformats.org/spreadsheetml/2006/main">
  <authors>
    <author>SeASon</author>
  </authors>
  <commentList>
    <comment ref="D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会出现的英雄等级最小值</t>
        </r>
      </text>
    </comment>
    <comment ref="H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对应美术资源编号</t>
        </r>
      </text>
    </comment>
  </commentList>
</comments>
</file>

<file path=xl/sharedStrings.xml><?xml version="1.0" encoding="utf-8"?>
<sst xmlns="http://schemas.openxmlformats.org/spreadsheetml/2006/main" count="52">
  <si>
    <t>id</t>
  </si>
  <si>
    <t>name</t>
  </si>
  <si>
    <t>vaild</t>
  </si>
  <si>
    <t>level_min</t>
  </si>
  <si>
    <t>level_max</t>
  </si>
  <si>
    <t>stagecount</t>
  </si>
  <si>
    <t>hero_list</t>
  </si>
  <si>
    <t>res_id</t>
  </si>
  <si>
    <t>desc</t>
  </si>
  <si>
    <t>区域模型</t>
  </si>
  <si>
    <t>1007,1008,1009</t>
  </si>
  <si>
    <t>无</t>
  </si>
  <si>
    <t>区域1</t>
  </si>
  <si>
    <t>1007,1008,1010</t>
  </si>
  <si>
    <t>区域2</t>
  </si>
  <si>
    <t>1007,1008,1011</t>
  </si>
  <si>
    <t>区域3</t>
  </si>
  <si>
    <t>1007,1008,1012</t>
  </si>
  <si>
    <t>区域4</t>
  </si>
  <si>
    <t>1007,1008,1013</t>
  </si>
  <si>
    <t>区域5</t>
  </si>
  <si>
    <t>1007,1008,1014</t>
  </si>
  <si>
    <t>小村落</t>
  </si>
  <si>
    <t>1007,1011,1035</t>
  </si>
  <si>
    <t>村落郊外I</t>
  </si>
  <si>
    <t>1007,1011,1036</t>
  </si>
  <si>
    <t>村落郊外II</t>
  </si>
  <si>
    <t>1007,1011,1017</t>
  </si>
  <si>
    <t>小城镇I</t>
  </si>
  <si>
    <t>1007,1011,1018</t>
  </si>
  <si>
    <t>小城镇II</t>
  </si>
  <si>
    <t>1007,1011,1019</t>
  </si>
  <si>
    <t>郊外大草原I</t>
  </si>
  <si>
    <t>1017,1018,1019</t>
  </si>
  <si>
    <t>郊外大草原II</t>
  </si>
  <si>
    <t>郊外大草原III</t>
  </si>
  <si>
    <t>宁静森林I</t>
  </si>
  <si>
    <t>宁静森林II</t>
  </si>
  <si>
    <t>宁静森林III</t>
  </si>
  <si>
    <t>城邦小路I</t>
  </si>
  <si>
    <t>城邦小路II</t>
  </si>
  <si>
    <t>城邦小路III</t>
  </si>
  <si>
    <t>区域索引</t>
  </si>
  <si>
    <t>等级均值</t>
  </si>
  <si>
    <t>血量均值</t>
  </si>
  <si>
    <t>金币均值</t>
  </si>
  <si>
    <t>英雄HP系数</t>
  </si>
  <si>
    <t>英雄等级</t>
  </si>
  <si>
    <t>Normal英雄</t>
  </si>
  <si>
    <t>BOSS英雄</t>
  </si>
  <si>
    <t>Rare英雄</t>
  </si>
  <si>
    <t>英雄GOLD均值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</si>
</sst>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</numFmts>
  <fonts count="27">
    <font>
      <sz val="11"/>
      <color indexed="8"/>
      <name val="宋体"/>
      <charset val="134"/>
    </font>
    <font>
      <sz val="11"/>
      <color theme="2"/>
      <name val="宋体"/>
      <charset val="134"/>
    </font>
    <font>
      <sz val="11"/>
      <name val="宋体"/>
      <charset val="134"/>
    </font>
    <font>
      <sz val="11"/>
      <name val="宋体"/>
      <charset val="134"/>
      <scheme val="major"/>
    </font>
    <font>
      <b/>
      <sz val="11"/>
      <color indexed="9"/>
      <name val="宋体"/>
      <charset val="134"/>
    </font>
    <font>
      <sz val="10.5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2"/>
      <name val="宋体"/>
      <charset val="134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6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0" fillId="17" borderId="5" applyNumberFormat="0" applyFont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16" borderId="4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10" fillId="0" borderId="0"/>
    <xf numFmtId="0" fontId="1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>
      <alignment vertical="center"/>
    </xf>
    <xf numFmtId="176" fontId="0" fillId="0" borderId="0" xfId="0" applyNumberForma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4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0" fontId="5" fillId="0" borderId="1" xfId="0" applyFont="1" applyFill="1" applyBorder="1" applyAlignment="1">
      <alignment vertical="center" wrapText="1"/>
    </xf>
  </cellXfs>
  <cellStyles count="5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常规 6" xfId="14"/>
    <cellStyle name="注释" xfId="15" builtinId="10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常规 3 2" xfId="42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  <cellStyle name="百分比 3" xfId="52"/>
    <cellStyle name="常规 2" xfId="53"/>
    <cellStyle name="常规 3" xfId="54"/>
    <cellStyle name="常规 4" xfId="55"/>
  </cellStyles>
  <dxfs count="1">
    <dxf>
      <font>
        <color theme="5"/>
      </font>
      <fill>
        <patternFill patternType="solid">
          <bgColor theme="5" tint="0.79995117038483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00858250276855"/>
          <c:y val="0.157560056523787"/>
          <c:w val="0.894988925802879"/>
          <c:h val="0.59948186528497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计算!$K$2:$K$21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计算!$L$2:$L$21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5.5</c:v>
                </c:pt>
                <c:pt idx="10">
                  <c:v>6.5</c:v>
                </c:pt>
                <c:pt idx="11">
                  <c:v>7.5</c:v>
                </c:pt>
                <c:pt idx="12">
                  <c:v>8.5</c:v>
                </c:pt>
                <c:pt idx="13">
                  <c:v>9.5</c:v>
                </c:pt>
                <c:pt idx="14">
                  <c:v>10.5</c:v>
                </c:pt>
                <c:pt idx="15">
                  <c:v>11.5</c:v>
                </c:pt>
                <c:pt idx="16">
                  <c:v>12.5</c:v>
                </c:pt>
                <c:pt idx="17">
                  <c:v>13.5</c:v>
                </c:pt>
                <c:pt idx="18">
                  <c:v>14.5</c:v>
                </c:pt>
                <c:pt idx="19">
                  <c:v>15.5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计算!$K$2:$K$21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计算!$M$2:$M$21</c:f>
              <c:numCache>
                <c:formatCode>0.00_ </c:formatCode>
                <c:ptCount val="20"/>
                <c:pt idx="0">
                  <c:v>22.6274169979695</c:v>
                </c:pt>
                <c:pt idx="1">
                  <c:v>22.6274169979695</c:v>
                </c:pt>
                <c:pt idx="2">
                  <c:v>22.6274169979695</c:v>
                </c:pt>
                <c:pt idx="3">
                  <c:v>22.6274169979695</c:v>
                </c:pt>
                <c:pt idx="4">
                  <c:v>22.6274169979695</c:v>
                </c:pt>
                <c:pt idx="5">
                  <c:v>22.6274169979695</c:v>
                </c:pt>
                <c:pt idx="6">
                  <c:v>22.6274169979695</c:v>
                </c:pt>
                <c:pt idx="7">
                  <c:v>62.3538290724796</c:v>
                </c:pt>
                <c:pt idx="8">
                  <c:v>128</c:v>
                </c:pt>
                <c:pt idx="9">
                  <c:v>283.770153469318</c:v>
                </c:pt>
                <c:pt idx="10">
                  <c:v>430.86714889859</c:v>
                </c:pt>
                <c:pt idx="11">
                  <c:v>616.187877193312</c:v>
                </c:pt>
                <c:pt idx="12">
                  <c:v>842.572548805146</c:v>
                </c:pt>
                <c:pt idx="13">
                  <c:v>1112.6767275359</c:v>
                </c:pt>
                <c:pt idx="14">
                  <c:v>1429.00332399893</c:v>
                </c:pt>
                <c:pt idx="15">
                  <c:v>1793.92628053663</c:v>
                </c:pt>
                <c:pt idx="16">
                  <c:v>2209.70869120796</c:v>
                </c:pt>
                <c:pt idx="17">
                  <c:v>2678.51703373341</c:v>
                </c:pt>
                <c:pt idx="18">
                  <c:v>3202.43259101577</c:v>
                </c:pt>
                <c:pt idx="19">
                  <c:v>3783.46078346268</c:v>
                </c:pt>
              </c:numCache>
            </c:numRef>
          </c:yVal>
          <c:smooth val="1"/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计算!$K$2:$K$21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计算!$N$2:$N$21</c:f>
              <c:numCache>
                <c:formatCode>General</c:formatCode>
                <c:ptCount val="2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18</c:v>
                </c:pt>
                <c:pt idx="8">
                  <c:v>32</c:v>
                </c:pt>
                <c:pt idx="9">
                  <c:v>60.5</c:v>
                </c:pt>
                <c:pt idx="10">
                  <c:v>84.5</c:v>
                </c:pt>
                <c:pt idx="11">
                  <c:v>112.5</c:v>
                </c:pt>
                <c:pt idx="12">
                  <c:v>144.5</c:v>
                </c:pt>
                <c:pt idx="13">
                  <c:v>180.5</c:v>
                </c:pt>
                <c:pt idx="14">
                  <c:v>220.5</c:v>
                </c:pt>
                <c:pt idx="15">
                  <c:v>264.5</c:v>
                </c:pt>
                <c:pt idx="16">
                  <c:v>312.5</c:v>
                </c:pt>
                <c:pt idx="17">
                  <c:v>364.5</c:v>
                </c:pt>
                <c:pt idx="18">
                  <c:v>420.5</c:v>
                </c:pt>
                <c:pt idx="19">
                  <c:v>480.5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6270"/>
        <c:axId val="32305669"/>
      </c:scatterChart>
      <c:valAx>
        <c:axId val="57624627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305669"/>
        <c:crosses val="autoZero"/>
        <c:crossBetween val="midCat"/>
      </c:valAx>
      <c:valAx>
        <c:axId val="323056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624627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487680</xdr:colOff>
      <xdr:row>12</xdr:row>
      <xdr:rowOff>39370</xdr:rowOff>
    </xdr:from>
    <xdr:to>
      <xdr:col>19</xdr:col>
      <xdr:colOff>499110</xdr:colOff>
      <xdr:row>28</xdr:row>
      <xdr:rowOff>39370</xdr:rowOff>
    </xdr:to>
    <xdr:graphicFrame>
      <xdr:nvGraphicFramePr>
        <xdr:cNvPr id="3" name="图表 2"/>
        <xdr:cNvGraphicFramePr/>
      </xdr:nvGraphicFramePr>
      <xdr:xfrm>
        <a:off x="10650855" y="2096770"/>
        <a:ext cx="36118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WPS">
      <a:dk1>
        <a:sysClr val="windowText" lastClr="000000"/>
      </a:dk1>
      <a:lt1>
        <a:sysClr val="window" lastClr="DEF1DE"/>
      </a:lt1>
      <a:dk2>
        <a:srgbClr val="00007F"/>
      </a:dk2>
      <a:lt2>
        <a:srgbClr val="FFFFFF"/>
      </a:lt2>
      <a:accent1>
        <a:srgbClr val="0000FF"/>
      </a:accent1>
      <a:accent2>
        <a:srgbClr val="FF0000"/>
      </a:accent2>
      <a:accent3>
        <a:srgbClr val="00FF00"/>
      </a:accent3>
      <a:accent4>
        <a:srgbClr val="7030A0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499984740745262"/>
  </sheetPr>
  <dimension ref="A1:I31"/>
  <sheetViews>
    <sheetView zoomScale="130" zoomScaleNormal="130" workbookViewId="0">
      <pane xSplit="2" ySplit="1" topLeftCell="C2" activePane="bottomRight" state="frozen"/>
      <selection/>
      <selection pane="topRight"/>
      <selection pane="bottomLeft"/>
      <selection pane="bottomRight" activeCell="I24" sqref="I24"/>
    </sheetView>
  </sheetViews>
  <sheetFormatPr defaultColWidth="9" defaultRowHeight="13.5"/>
  <cols>
    <col min="1" max="1" width="4.33333333333333" style="3" customWidth="1"/>
    <col min="2" max="2" width="11" style="4" customWidth="1"/>
    <col min="3" max="3" width="4" style="4" customWidth="1"/>
    <col min="4" max="5" width="6.16666666666667" style="4" customWidth="1"/>
    <col min="6" max="6" width="6.66666666666667" style="4" customWidth="1"/>
    <col min="7" max="7" width="15.6666666666667" style="4" customWidth="1"/>
    <col min="8" max="8" width="5.16666666666667" style="4" customWidth="1"/>
    <col min="9" max="9" width="40.3333333333333" style="5" customWidth="1"/>
    <col min="10" max="10" width="9" style="6"/>
    <col min="11" max="11" width="9" style="6" customWidth="1"/>
    <col min="12" max="12" width="11" style="6" customWidth="1"/>
    <col min="13" max="16384" width="9" style="6"/>
  </cols>
  <sheetData>
    <row r="1" ht="40.5" spans="1:9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</row>
    <row r="2" spans="1:9">
      <c r="A2" s="9">
        <v>0</v>
      </c>
      <c r="B2" s="10" t="s">
        <v>9</v>
      </c>
      <c r="C2" s="11">
        <v>0</v>
      </c>
      <c r="D2" s="12">
        <v>1</v>
      </c>
      <c r="E2" s="12">
        <v>3</v>
      </c>
      <c r="F2" s="12">
        <v>10</v>
      </c>
      <c r="G2" s="13" t="s">
        <v>10</v>
      </c>
      <c r="H2" s="12">
        <v>1</v>
      </c>
      <c r="I2" s="14" t="s">
        <v>11</v>
      </c>
    </row>
    <row r="3" spans="1:9">
      <c r="A3" s="9">
        <v>1</v>
      </c>
      <c r="B3" s="10" t="s">
        <v>12</v>
      </c>
      <c r="C3" s="11">
        <v>0</v>
      </c>
      <c r="D3" s="12">
        <v>1</v>
      </c>
      <c r="E3" s="12">
        <v>3</v>
      </c>
      <c r="F3" s="12">
        <v>10</v>
      </c>
      <c r="G3" s="13" t="s">
        <v>13</v>
      </c>
      <c r="H3" s="12">
        <v>2</v>
      </c>
      <c r="I3" s="14" t="s">
        <v>11</v>
      </c>
    </row>
    <row r="4" spans="1:9">
      <c r="A4" s="9">
        <v>2</v>
      </c>
      <c r="B4" s="10" t="s">
        <v>14</v>
      </c>
      <c r="C4" s="11">
        <v>0</v>
      </c>
      <c r="D4" s="12">
        <v>1</v>
      </c>
      <c r="E4" s="12">
        <v>3</v>
      </c>
      <c r="F4" s="12">
        <v>10</v>
      </c>
      <c r="G4" s="13" t="s">
        <v>15</v>
      </c>
      <c r="H4" s="12">
        <v>3</v>
      </c>
      <c r="I4" s="14" t="s">
        <v>11</v>
      </c>
    </row>
    <row r="5" spans="1:9">
      <c r="A5" s="9">
        <v>3</v>
      </c>
      <c r="B5" s="10" t="s">
        <v>16</v>
      </c>
      <c r="C5" s="11">
        <v>0</v>
      </c>
      <c r="D5" s="12">
        <v>1</v>
      </c>
      <c r="E5" s="12">
        <v>3</v>
      </c>
      <c r="F5" s="12">
        <v>10</v>
      </c>
      <c r="G5" s="13" t="s">
        <v>17</v>
      </c>
      <c r="H5" s="12">
        <v>4</v>
      </c>
      <c r="I5" s="14" t="s">
        <v>11</v>
      </c>
    </row>
    <row r="6" spans="1:9">
      <c r="A6" s="9">
        <v>4</v>
      </c>
      <c r="B6" s="10" t="s">
        <v>18</v>
      </c>
      <c r="C6" s="11">
        <v>0</v>
      </c>
      <c r="D6" s="12">
        <v>1</v>
      </c>
      <c r="E6" s="12">
        <v>3</v>
      </c>
      <c r="F6" s="12">
        <v>10</v>
      </c>
      <c r="G6" s="13" t="s">
        <v>19</v>
      </c>
      <c r="H6" s="12">
        <v>5</v>
      </c>
      <c r="I6" s="14" t="s">
        <v>11</v>
      </c>
    </row>
    <row r="7" spans="1:9">
      <c r="A7" s="9">
        <v>5</v>
      </c>
      <c r="B7" s="10" t="s">
        <v>20</v>
      </c>
      <c r="C7" s="11">
        <v>0</v>
      </c>
      <c r="D7" s="12">
        <v>1</v>
      </c>
      <c r="E7" s="12">
        <v>3</v>
      </c>
      <c r="F7" s="12">
        <v>10</v>
      </c>
      <c r="G7" s="13" t="s">
        <v>21</v>
      </c>
      <c r="H7" s="12">
        <v>6</v>
      </c>
      <c r="I7" s="14" t="s">
        <v>11</v>
      </c>
    </row>
    <row r="8" spans="1:9">
      <c r="A8" s="9">
        <v>100</v>
      </c>
      <c r="B8" s="10" t="s">
        <v>22</v>
      </c>
      <c r="C8" s="11">
        <v>1</v>
      </c>
      <c r="D8" s="12">
        <v>1</v>
      </c>
      <c r="E8" s="12">
        <v>3</v>
      </c>
      <c r="F8" s="12">
        <v>10</v>
      </c>
      <c r="G8" s="13" t="s">
        <v>23</v>
      </c>
      <c r="H8" s="12">
        <v>7</v>
      </c>
      <c r="I8" s="14" t="s">
        <v>11</v>
      </c>
    </row>
    <row r="9" spans="1:9">
      <c r="A9" s="9">
        <v>101</v>
      </c>
      <c r="B9" s="10" t="s">
        <v>24</v>
      </c>
      <c r="C9" s="11">
        <v>1</v>
      </c>
      <c r="D9" s="12">
        <v>2</v>
      </c>
      <c r="E9" s="12">
        <v>4</v>
      </c>
      <c r="F9" s="12">
        <v>10</v>
      </c>
      <c r="G9" s="13" t="s">
        <v>25</v>
      </c>
      <c r="H9" s="12">
        <v>8</v>
      </c>
      <c r="I9" s="14" t="s">
        <v>11</v>
      </c>
    </row>
    <row r="10" spans="1:9">
      <c r="A10" s="9">
        <v>102</v>
      </c>
      <c r="B10" s="10" t="s">
        <v>26</v>
      </c>
      <c r="C10" s="11">
        <v>1</v>
      </c>
      <c r="D10" s="12">
        <v>3</v>
      </c>
      <c r="E10" s="12">
        <v>5</v>
      </c>
      <c r="F10" s="12">
        <v>10</v>
      </c>
      <c r="G10" s="13" t="s">
        <v>27</v>
      </c>
      <c r="H10" s="12">
        <v>9</v>
      </c>
      <c r="I10" s="14" t="s">
        <v>11</v>
      </c>
    </row>
    <row r="11" spans="1:9">
      <c r="A11" s="9">
        <v>103</v>
      </c>
      <c r="B11" s="10" t="s">
        <v>28</v>
      </c>
      <c r="C11" s="11">
        <v>1</v>
      </c>
      <c r="D11" s="12">
        <v>4</v>
      </c>
      <c r="E11" s="12">
        <v>7</v>
      </c>
      <c r="F11" s="12">
        <v>10</v>
      </c>
      <c r="G11" s="13" t="s">
        <v>29</v>
      </c>
      <c r="H11" s="12">
        <v>10</v>
      </c>
      <c r="I11" s="14" t="s">
        <v>11</v>
      </c>
    </row>
    <row r="12" spans="1:9">
      <c r="A12" s="9">
        <v>104</v>
      </c>
      <c r="B12" s="10" t="s">
        <v>30</v>
      </c>
      <c r="C12" s="11">
        <v>1</v>
      </c>
      <c r="D12" s="12">
        <v>5</v>
      </c>
      <c r="E12" s="12">
        <v>9</v>
      </c>
      <c r="F12" s="12">
        <v>10</v>
      </c>
      <c r="G12" s="13" t="s">
        <v>31</v>
      </c>
      <c r="H12" s="12">
        <v>11</v>
      </c>
      <c r="I12" s="14" t="s">
        <v>11</v>
      </c>
    </row>
    <row r="13" spans="1:9">
      <c r="A13" s="9">
        <v>105</v>
      </c>
      <c r="B13" s="10" t="s">
        <v>32</v>
      </c>
      <c r="C13" s="11">
        <v>1</v>
      </c>
      <c r="D13" s="12">
        <v>6</v>
      </c>
      <c r="E13" s="12">
        <v>8</v>
      </c>
      <c r="F13" s="12">
        <v>10</v>
      </c>
      <c r="G13" s="13" t="s">
        <v>33</v>
      </c>
      <c r="H13" s="12">
        <v>12</v>
      </c>
      <c r="I13" s="14" t="s">
        <v>11</v>
      </c>
    </row>
    <row r="14" spans="1:9">
      <c r="A14" s="9">
        <v>106</v>
      </c>
      <c r="B14" s="10" t="s">
        <v>34</v>
      </c>
      <c r="C14" s="11">
        <v>1</v>
      </c>
      <c r="D14" s="12">
        <v>7</v>
      </c>
      <c r="E14" s="12">
        <v>10</v>
      </c>
      <c r="F14" s="12">
        <v>10</v>
      </c>
      <c r="G14" s="13" t="s">
        <v>33</v>
      </c>
      <c r="H14" s="12">
        <v>13</v>
      </c>
      <c r="I14" s="14" t="s">
        <v>11</v>
      </c>
    </row>
    <row r="15" spans="1:9">
      <c r="A15" s="9">
        <v>107</v>
      </c>
      <c r="B15" s="10" t="s">
        <v>35</v>
      </c>
      <c r="C15" s="11">
        <v>1</v>
      </c>
      <c r="D15" s="12">
        <v>8</v>
      </c>
      <c r="E15" s="12">
        <v>11</v>
      </c>
      <c r="F15" s="12">
        <v>10</v>
      </c>
      <c r="G15" s="13" t="s">
        <v>33</v>
      </c>
      <c r="H15" s="12">
        <v>14</v>
      </c>
      <c r="I15" s="14" t="s">
        <v>11</v>
      </c>
    </row>
    <row r="16" spans="1:9">
      <c r="A16" s="9">
        <v>108</v>
      </c>
      <c r="B16" s="10" t="s">
        <v>36</v>
      </c>
      <c r="C16" s="11">
        <v>1</v>
      </c>
      <c r="D16" s="12">
        <v>9</v>
      </c>
      <c r="E16" s="12">
        <v>12</v>
      </c>
      <c r="F16" s="12">
        <v>10</v>
      </c>
      <c r="G16" s="13" t="s">
        <v>33</v>
      </c>
      <c r="H16" s="12">
        <v>15</v>
      </c>
      <c r="I16" s="14" t="s">
        <v>11</v>
      </c>
    </row>
    <row r="17" spans="1:9">
      <c r="A17" s="9">
        <v>109</v>
      </c>
      <c r="B17" s="10" t="s">
        <v>37</v>
      </c>
      <c r="C17" s="11">
        <v>1</v>
      </c>
      <c r="D17" s="12">
        <v>10</v>
      </c>
      <c r="E17" s="12">
        <v>13</v>
      </c>
      <c r="F17" s="12">
        <v>10</v>
      </c>
      <c r="G17" s="13" t="s">
        <v>33</v>
      </c>
      <c r="H17" s="12">
        <v>16</v>
      </c>
      <c r="I17" s="14" t="s">
        <v>11</v>
      </c>
    </row>
    <row r="18" spans="1:9">
      <c r="A18" s="9">
        <v>110</v>
      </c>
      <c r="B18" s="10" t="s">
        <v>38</v>
      </c>
      <c r="C18" s="11">
        <v>1</v>
      </c>
      <c r="D18" s="12">
        <v>11</v>
      </c>
      <c r="E18" s="12">
        <v>14</v>
      </c>
      <c r="F18" s="12">
        <v>10</v>
      </c>
      <c r="G18" s="13" t="s">
        <v>33</v>
      </c>
      <c r="H18" s="12">
        <v>17</v>
      </c>
      <c r="I18" s="14" t="s">
        <v>11</v>
      </c>
    </row>
    <row r="19" spans="1:9">
      <c r="A19" s="9">
        <v>111</v>
      </c>
      <c r="B19" s="10" t="s">
        <v>39</v>
      </c>
      <c r="C19" s="11">
        <v>1</v>
      </c>
      <c r="D19" s="12">
        <v>12</v>
      </c>
      <c r="E19" s="12">
        <v>15</v>
      </c>
      <c r="F19" s="12">
        <v>10</v>
      </c>
      <c r="G19" s="13" t="s">
        <v>33</v>
      </c>
      <c r="H19" s="12">
        <v>18</v>
      </c>
      <c r="I19" s="14" t="s">
        <v>11</v>
      </c>
    </row>
    <row r="20" spans="1:9">
      <c r="A20" s="9">
        <v>112</v>
      </c>
      <c r="B20" s="10" t="s">
        <v>40</v>
      </c>
      <c r="C20" s="11">
        <v>1</v>
      </c>
      <c r="D20" s="12">
        <v>13</v>
      </c>
      <c r="E20" s="12">
        <v>16</v>
      </c>
      <c r="F20" s="12">
        <v>10</v>
      </c>
      <c r="G20" s="13" t="s">
        <v>33</v>
      </c>
      <c r="H20" s="12">
        <v>19</v>
      </c>
      <c r="I20" s="14" t="s">
        <v>11</v>
      </c>
    </row>
    <row r="21" spans="1:9">
      <c r="A21" s="9">
        <v>113</v>
      </c>
      <c r="B21" s="10" t="s">
        <v>41</v>
      </c>
      <c r="C21" s="11">
        <v>1</v>
      </c>
      <c r="D21" s="12">
        <v>14</v>
      </c>
      <c r="E21" s="12">
        <v>17</v>
      </c>
      <c r="F21" s="12">
        <v>10</v>
      </c>
      <c r="G21" s="13" t="s">
        <v>33</v>
      </c>
      <c r="H21" s="12">
        <v>20</v>
      </c>
      <c r="I21" s="14" t="s">
        <v>11</v>
      </c>
    </row>
    <row r="22" spans="9:9">
      <c r="I22" s="4"/>
    </row>
    <row r="23" spans="6:8">
      <c r="F23" s="5"/>
      <c r="G23" s="5"/>
      <c r="H23" s="5"/>
    </row>
    <row r="24" spans="6:8">
      <c r="F24" s="5"/>
      <c r="G24" s="5"/>
      <c r="H24" s="5"/>
    </row>
    <row r="25" spans="6:8">
      <c r="F25" s="5"/>
      <c r="G25" s="5"/>
      <c r="H25" s="5"/>
    </row>
    <row r="26" spans="6:8">
      <c r="F26" s="5"/>
      <c r="G26" s="5"/>
      <c r="H26" s="5"/>
    </row>
    <row r="27" spans="6:8">
      <c r="F27" s="5"/>
      <c r="G27" s="5"/>
      <c r="H27" s="5"/>
    </row>
    <row r="28" spans="6:8">
      <c r="F28" s="5"/>
      <c r="G28" s="5"/>
      <c r="H28" s="5"/>
    </row>
    <row r="29" spans="6:8">
      <c r="F29" s="5"/>
      <c r="G29" s="5"/>
      <c r="H29" s="5"/>
    </row>
    <row r="30" spans="6:8">
      <c r="F30" s="5"/>
      <c r="G30" s="5"/>
      <c r="H30" s="5"/>
    </row>
    <row r="31" spans="6:8">
      <c r="F31" s="5"/>
      <c r="G31" s="5"/>
      <c r="H31" s="5"/>
    </row>
  </sheetData>
  <sortState ref="A2:AB291">
    <sortCondition ref="A2:A291"/>
  </sortState>
  <conditionalFormatting sqref="A2:A21">
    <cfRule type="duplicateValues" dxfId="0" priority="1203"/>
  </conditionalFormatting>
  <conditionalFormatting sqref="C2:C21">
    <cfRule type="colorScale" priority="1">
      <colorScale>
        <cfvo type="min"/>
        <cfvo type="max"/>
        <color rgb="FFF8696B"/>
        <color rgb="FFFCFCFF"/>
      </colorScale>
    </cfRule>
  </conditionalFormatting>
  <dataValidations count="1">
    <dataValidation type="list" allowBlank="1" showInputMessage="1" showErrorMessage="1" sqref="C2:C21">
      <formula1>"0,1"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tabSelected="1" zoomScale="130" zoomScaleNormal="130" workbookViewId="0">
      <selection activeCell="M2" sqref="M2"/>
    </sheetView>
  </sheetViews>
  <sheetFormatPr defaultColWidth="9" defaultRowHeight="13.5"/>
  <cols>
    <col min="1" max="1" width="4.375" customWidth="1"/>
    <col min="2" max="2" width="14.125" customWidth="1"/>
    <col min="7" max="7" width="16" customWidth="1"/>
    <col min="13" max="13" width="8.875" customWidth="1"/>
    <col min="17" max="17" width="11.25" customWidth="1"/>
  </cols>
  <sheetData>
    <row r="1" spans="1:18">
      <c r="A1" s="1" t="str">
        <f>Area!A1</f>
        <v>id</v>
      </c>
      <c r="B1" s="1" t="str">
        <f>Area!B1</f>
        <v>name</v>
      </c>
      <c r="C1" s="1" t="str">
        <f>Area!C1</f>
        <v>vaild</v>
      </c>
      <c r="D1" s="1" t="str">
        <f>Area!D1</f>
        <v>level_min</v>
      </c>
      <c r="E1" s="1" t="str">
        <f>Area!E1</f>
        <v>level_max</v>
      </c>
      <c r="F1" s="1" t="str">
        <f>Area!F1</f>
        <v>stagecount</v>
      </c>
      <c r="G1" s="1" t="str">
        <f>Area!G1</f>
        <v>hero_list</v>
      </c>
      <c r="H1" s="1" t="str">
        <f>Area!H1</f>
        <v>res_id</v>
      </c>
      <c r="I1" s="1" t="str">
        <f>Area!I1</f>
        <v>desc</v>
      </c>
      <c r="K1" t="s">
        <v>42</v>
      </c>
      <c r="L1" t="s">
        <v>43</v>
      </c>
      <c r="M1" t="s">
        <v>44</v>
      </c>
      <c r="N1" t="s">
        <v>45</v>
      </c>
      <c r="Q1" t="s">
        <v>46</v>
      </c>
      <c r="R1">
        <v>4</v>
      </c>
    </row>
    <row r="2" spans="1:17">
      <c r="A2">
        <f>Area!A2</f>
        <v>0</v>
      </c>
      <c r="B2" t="str">
        <f>Area!B2</f>
        <v>区域模型</v>
      </c>
      <c r="C2">
        <f>Area!C2</f>
        <v>0</v>
      </c>
      <c r="D2">
        <f>Area!D2</f>
        <v>1</v>
      </c>
      <c r="E2">
        <f>Area!E2</f>
        <v>3</v>
      </c>
      <c r="F2">
        <f>Area!F2</f>
        <v>10</v>
      </c>
      <c r="G2" t="str">
        <f>Area!G2</f>
        <v>1007,1008,1009</v>
      </c>
      <c r="H2">
        <f>Area!H2</f>
        <v>1</v>
      </c>
      <c r="I2" t="str">
        <f>Area!I2</f>
        <v>无</v>
      </c>
      <c r="K2">
        <f>ROW()-1</f>
        <v>1</v>
      </c>
      <c r="L2">
        <f>AVERAGE(D2:E2)</f>
        <v>2</v>
      </c>
      <c r="M2" s="2">
        <f>POWER($L2,2.5)*$R$1</f>
        <v>22.6274169979695</v>
      </c>
      <c r="N2">
        <f>POWER($L2,2)*$R$6</f>
        <v>8</v>
      </c>
      <c r="Q2" t="s">
        <v>47</v>
      </c>
    </row>
    <row r="3" spans="1:17">
      <c r="A3">
        <f>Area!A3</f>
        <v>1</v>
      </c>
      <c r="B3" t="str">
        <f>Area!B3</f>
        <v>区域1</v>
      </c>
      <c r="C3">
        <f>Area!C3</f>
        <v>0</v>
      </c>
      <c r="D3">
        <f>Area!D3</f>
        <v>1</v>
      </c>
      <c r="E3">
        <f>Area!E3</f>
        <v>3</v>
      </c>
      <c r="F3">
        <f>Area!F3</f>
        <v>10</v>
      </c>
      <c r="G3" t="str">
        <f>Area!G3</f>
        <v>1007,1008,1010</v>
      </c>
      <c r="H3">
        <f>Area!H3</f>
        <v>2</v>
      </c>
      <c r="I3" t="str">
        <f>Area!I3</f>
        <v>无</v>
      </c>
      <c r="K3">
        <f t="shared" ref="K3:K12" si="0">ROW()-1</f>
        <v>2</v>
      </c>
      <c r="L3">
        <f t="shared" ref="L3:L21" si="1">AVERAGE(D3:E3)</f>
        <v>2</v>
      </c>
      <c r="M3" s="2">
        <f t="shared" ref="M3:M21" si="2">POWER($L3,2.5)*$R$1</f>
        <v>22.6274169979695</v>
      </c>
      <c r="N3">
        <f t="shared" ref="N3:N21" si="3">POWER($L3,2)*$R$6</f>
        <v>8</v>
      </c>
      <c r="Q3" t="s">
        <v>48</v>
      </c>
    </row>
    <row r="4" spans="1:17">
      <c r="A4">
        <f>Area!A4</f>
        <v>2</v>
      </c>
      <c r="B4" t="str">
        <f>Area!B4</f>
        <v>区域2</v>
      </c>
      <c r="C4">
        <f>Area!C4</f>
        <v>0</v>
      </c>
      <c r="D4">
        <f>Area!D4</f>
        <v>1</v>
      </c>
      <c r="E4">
        <f>Area!E4</f>
        <v>3</v>
      </c>
      <c r="F4">
        <f>Area!F4</f>
        <v>10</v>
      </c>
      <c r="G4" t="str">
        <f>Area!G4</f>
        <v>1007,1008,1011</v>
      </c>
      <c r="H4">
        <f>Area!H4</f>
        <v>3</v>
      </c>
      <c r="I4" t="str">
        <f>Area!I4</f>
        <v>无</v>
      </c>
      <c r="K4">
        <f t="shared" si="0"/>
        <v>3</v>
      </c>
      <c r="L4">
        <f t="shared" si="1"/>
        <v>2</v>
      </c>
      <c r="M4" s="2">
        <f t="shared" si="2"/>
        <v>22.6274169979695</v>
      </c>
      <c r="N4">
        <f t="shared" si="3"/>
        <v>8</v>
      </c>
      <c r="Q4" t="s">
        <v>49</v>
      </c>
    </row>
    <row r="5" spans="1:17">
      <c r="A5">
        <f>Area!A5</f>
        <v>3</v>
      </c>
      <c r="B5" t="str">
        <f>Area!B5</f>
        <v>区域3</v>
      </c>
      <c r="C5">
        <f>Area!C5</f>
        <v>0</v>
      </c>
      <c r="D5">
        <f>Area!D5</f>
        <v>1</v>
      </c>
      <c r="E5">
        <f>Area!E5</f>
        <v>3</v>
      </c>
      <c r="F5">
        <f>Area!F5</f>
        <v>10</v>
      </c>
      <c r="G5" t="str">
        <f>Area!G5</f>
        <v>1007,1008,1012</v>
      </c>
      <c r="H5">
        <f>Area!H5</f>
        <v>4</v>
      </c>
      <c r="I5" t="str">
        <f>Area!I5</f>
        <v>无</v>
      </c>
      <c r="K5">
        <f t="shared" si="0"/>
        <v>4</v>
      </c>
      <c r="L5">
        <f t="shared" si="1"/>
        <v>2</v>
      </c>
      <c r="M5" s="2">
        <f t="shared" si="2"/>
        <v>22.6274169979695</v>
      </c>
      <c r="N5">
        <f t="shared" si="3"/>
        <v>8</v>
      </c>
      <c r="Q5" t="s">
        <v>50</v>
      </c>
    </row>
    <row r="6" spans="1:18">
      <c r="A6">
        <f>Area!A6</f>
        <v>4</v>
      </c>
      <c r="B6" t="str">
        <f>Area!B6</f>
        <v>区域4</v>
      </c>
      <c r="C6">
        <f>Area!C6</f>
        <v>0</v>
      </c>
      <c r="D6">
        <f>Area!D6</f>
        <v>1</v>
      </c>
      <c r="E6">
        <f>Area!E6</f>
        <v>3</v>
      </c>
      <c r="F6">
        <f>Area!F6</f>
        <v>10</v>
      </c>
      <c r="G6" t="str">
        <f>Area!G6</f>
        <v>1007,1008,1013</v>
      </c>
      <c r="H6">
        <f>Area!H6</f>
        <v>5</v>
      </c>
      <c r="I6" t="str">
        <f>Area!I6</f>
        <v>无</v>
      </c>
      <c r="K6">
        <f t="shared" si="0"/>
        <v>5</v>
      </c>
      <c r="L6">
        <f t="shared" si="1"/>
        <v>2</v>
      </c>
      <c r="M6" s="2">
        <f t="shared" si="2"/>
        <v>22.6274169979695</v>
      </c>
      <c r="N6">
        <f t="shared" si="3"/>
        <v>8</v>
      </c>
      <c r="Q6" t="s">
        <v>51</v>
      </c>
      <c r="R6">
        <v>2</v>
      </c>
    </row>
    <row r="7" spans="1:14">
      <c r="A7">
        <f>Area!A7</f>
        <v>5</v>
      </c>
      <c r="B7" t="str">
        <f>Area!B7</f>
        <v>区域5</v>
      </c>
      <c r="C7">
        <f>Area!C7</f>
        <v>0</v>
      </c>
      <c r="D7">
        <f>Area!D7</f>
        <v>1</v>
      </c>
      <c r="E7">
        <f>Area!E7</f>
        <v>3</v>
      </c>
      <c r="F7">
        <f>Area!F7</f>
        <v>10</v>
      </c>
      <c r="G7" t="str">
        <f>Area!G7</f>
        <v>1007,1008,1014</v>
      </c>
      <c r="H7">
        <f>Area!H7</f>
        <v>6</v>
      </c>
      <c r="I7" t="str">
        <f>Area!I7</f>
        <v>无</v>
      </c>
      <c r="K7">
        <f>ROW()-1</f>
        <v>6</v>
      </c>
      <c r="L7">
        <f>AVERAGE(D7:E7)</f>
        <v>2</v>
      </c>
      <c r="M7" s="2">
        <f t="shared" si="2"/>
        <v>22.6274169979695</v>
      </c>
      <c r="N7">
        <f t="shared" si="3"/>
        <v>8</v>
      </c>
    </row>
    <row r="8" spans="1:14">
      <c r="A8">
        <f>Area!A8</f>
        <v>100</v>
      </c>
      <c r="B8" t="str">
        <f>Area!B8</f>
        <v>小村落</v>
      </c>
      <c r="C8">
        <f>Area!C8</f>
        <v>1</v>
      </c>
      <c r="D8">
        <f>Area!D8</f>
        <v>1</v>
      </c>
      <c r="E8">
        <f>Area!E8</f>
        <v>3</v>
      </c>
      <c r="F8">
        <f>Area!F8</f>
        <v>10</v>
      </c>
      <c r="G8" t="str">
        <f>Area!G8</f>
        <v>1007,1011,1035</v>
      </c>
      <c r="H8">
        <f>Area!H8</f>
        <v>7</v>
      </c>
      <c r="I8" t="str">
        <f>Area!I8</f>
        <v>无</v>
      </c>
      <c r="K8">
        <f t="shared" si="0"/>
        <v>7</v>
      </c>
      <c r="L8">
        <f t="shared" si="1"/>
        <v>2</v>
      </c>
      <c r="M8" s="2">
        <f t="shared" si="2"/>
        <v>22.6274169979695</v>
      </c>
      <c r="N8">
        <f t="shared" si="3"/>
        <v>8</v>
      </c>
    </row>
    <row r="9" spans="1:14">
      <c r="A9">
        <f>Area!A9</f>
        <v>101</v>
      </c>
      <c r="B9" t="str">
        <f>Area!B9</f>
        <v>村落郊外I</v>
      </c>
      <c r="C9">
        <f>Area!C9</f>
        <v>1</v>
      </c>
      <c r="D9">
        <f>Area!D9</f>
        <v>2</v>
      </c>
      <c r="E9">
        <f>Area!E9</f>
        <v>4</v>
      </c>
      <c r="F9">
        <f>Area!F9</f>
        <v>10</v>
      </c>
      <c r="G9" t="str">
        <f>Area!G9</f>
        <v>1007,1011,1036</v>
      </c>
      <c r="H9">
        <f>Area!H9</f>
        <v>8</v>
      </c>
      <c r="I9" t="str">
        <f>Area!I9</f>
        <v>无</v>
      </c>
      <c r="K9">
        <f t="shared" si="0"/>
        <v>8</v>
      </c>
      <c r="L9">
        <f t="shared" si="1"/>
        <v>3</v>
      </c>
      <c r="M9" s="2">
        <f t="shared" si="2"/>
        <v>62.3538290724796</v>
      </c>
      <c r="N9">
        <f t="shared" si="3"/>
        <v>18</v>
      </c>
    </row>
    <row r="10" spans="1:14">
      <c r="A10">
        <f>Area!A10</f>
        <v>102</v>
      </c>
      <c r="B10" t="str">
        <f>Area!B10</f>
        <v>村落郊外II</v>
      </c>
      <c r="C10">
        <f>Area!C10</f>
        <v>1</v>
      </c>
      <c r="D10">
        <f>Area!D10</f>
        <v>3</v>
      </c>
      <c r="E10">
        <f>Area!E10</f>
        <v>5</v>
      </c>
      <c r="F10">
        <f>Area!F10</f>
        <v>10</v>
      </c>
      <c r="G10" t="str">
        <f>Area!G10</f>
        <v>1007,1011,1017</v>
      </c>
      <c r="H10">
        <f>Area!H10</f>
        <v>9</v>
      </c>
      <c r="I10" t="str">
        <f>Area!I10</f>
        <v>无</v>
      </c>
      <c r="K10">
        <f t="shared" si="0"/>
        <v>9</v>
      </c>
      <c r="L10">
        <f t="shared" si="1"/>
        <v>4</v>
      </c>
      <c r="M10" s="2">
        <f t="shared" si="2"/>
        <v>128</v>
      </c>
      <c r="N10">
        <f t="shared" si="3"/>
        <v>32</v>
      </c>
    </row>
    <row r="11" spans="1:14">
      <c r="A11">
        <f>Area!A11</f>
        <v>103</v>
      </c>
      <c r="B11" t="str">
        <f>Area!B11</f>
        <v>小城镇I</v>
      </c>
      <c r="C11">
        <f>Area!C11</f>
        <v>1</v>
      </c>
      <c r="D11">
        <f>Area!D11</f>
        <v>4</v>
      </c>
      <c r="E11">
        <f>Area!E11</f>
        <v>7</v>
      </c>
      <c r="F11">
        <f>Area!F11</f>
        <v>10</v>
      </c>
      <c r="G11" t="str">
        <f>Area!G11</f>
        <v>1007,1011,1018</v>
      </c>
      <c r="H11">
        <f>Area!H11</f>
        <v>10</v>
      </c>
      <c r="I11" t="str">
        <f>Area!I11</f>
        <v>无</v>
      </c>
      <c r="K11">
        <f t="shared" si="0"/>
        <v>10</v>
      </c>
      <c r="L11">
        <f t="shared" si="1"/>
        <v>5.5</v>
      </c>
      <c r="M11" s="2">
        <f t="shared" si="2"/>
        <v>283.770153469318</v>
      </c>
      <c r="N11">
        <f t="shared" si="3"/>
        <v>60.5</v>
      </c>
    </row>
    <row r="12" spans="1:14">
      <c r="A12">
        <f>Area!A12</f>
        <v>104</v>
      </c>
      <c r="B12" t="str">
        <f>Area!B12</f>
        <v>小城镇II</v>
      </c>
      <c r="C12">
        <f>Area!C12</f>
        <v>1</v>
      </c>
      <c r="D12">
        <f>Area!D12</f>
        <v>5</v>
      </c>
      <c r="E12">
        <v>8</v>
      </c>
      <c r="F12">
        <f>Area!F12</f>
        <v>10</v>
      </c>
      <c r="G12" t="str">
        <f>Area!G12</f>
        <v>1007,1011,1019</v>
      </c>
      <c r="H12">
        <f>Area!H12</f>
        <v>11</v>
      </c>
      <c r="I12" t="str">
        <f>Area!I12</f>
        <v>无</v>
      </c>
      <c r="K12">
        <f t="shared" si="0"/>
        <v>11</v>
      </c>
      <c r="L12">
        <f t="shared" si="1"/>
        <v>6.5</v>
      </c>
      <c r="M12" s="2">
        <f t="shared" si="2"/>
        <v>430.86714889859</v>
      </c>
      <c r="N12">
        <f t="shared" si="3"/>
        <v>84.5</v>
      </c>
    </row>
    <row r="13" spans="1:14">
      <c r="A13">
        <f>Area!A13</f>
        <v>105</v>
      </c>
      <c r="B13" t="str">
        <f>Area!B13</f>
        <v>郊外大草原I</v>
      </c>
      <c r="C13">
        <f>Area!C13</f>
        <v>1</v>
      </c>
      <c r="D13">
        <f>Area!D13</f>
        <v>6</v>
      </c>
      <c r="E13">
        <v>9</v>
      </c>
      <c r="F13">
        <f>Area!F13</f>
        <v>10</v>
      </c>
      <c r="G13" t="str">
        <f>Area!G13</f>
        <v>1017,1018,1019</v>
      </c>
      <c r="H13">
        <f>Area!H13</f>
        <v>12</v>
      </c>
      <c r="I13" t="str">
        <f>Area!I13</f>
        <v>无</v>
      </c>
      <c r="K13">
        <f t="shared" ref="K13:K21" si="4">ROW()-1</f>
        <v>12</v>
      </c>
      <c r="L13">
        <f t="shared" si="1"/>
        <v>7.5</v>
      </c>
      <c r="M13" s="2">
        <f t="shared" si="2"/>
        <v>616.187877193312</v>
      </c>
      <c r="N13">
        <f t="shared" si="3"/>
        <v>112.5</v>
      </c>
    </row>
    <row r="14" spans="1:14">
      <c r="A14">
        <f>Area!A14</f>
        <v>106</v>
      </c>
      <c r="B14" t="str">
        <f>Area!B14</f>
        <v>郊外大草原II</v>
      </c>
      <c r="C14">
        <f>Area!C14</f>
        <v>1</v>
      </c>
      <c r="D14">
        <f>Area!D14</f>
        <v>7</v>
      </c>
      <c r="E14">
        <f>Area!E14</f>
        <v>10</v>
      </c>
      <c r="F14">
        <f>Area!F14</f>
        <v>10</v>
      </c>
      <c r="G14" t="str">
        <f>Area!G14</f>
        <v>1017,1018,1019</v>
      </c>
      <c r="H14">
        <f>Area!H14</f>
        <v>13</v>
      </c>
      <c r="I14" t="str">
        <f>Area!I14</f>
        <v>无</v>
      </c>
      <c r="K14">
        <f t="shared" si="4"/>
        <v>13</v>
      </c>
      <c r="L14">
        <f t="shared" si="1"/>
        <v>8.5</v>
      </c>
      <c r="M14" s="2">
        <f t="shared" si="2"/>
        <v>842.572548805146</v>
      </c>
      <c r="N14">
        <f t="shared" si="3"/>
        <v>144.5</v>
      </c>
    </row>
    <row r="15" spans="1:14">
      <c r="A15">
        <f>Area!A15</f>
        <v>107</v>
      </c>
      <c r="B15" t="str">
        <f>Area!B15</f>
        <v>郊外大草原III</v>
      </c>
      <c r="C15">
        <f>Area!C15</f>
        <v>1</v>
      </c>
      <c r="D15">
        <f>Area!D15</f>
        <v>8</v>
      </c>
      <c r="E15">
        <f>Area!E15</f>
        <v>11</v>
      </c>
      <c r="F15">
        <f>Area!F15</f>
        <v>10</v>
      </c>
      <c r="G15" t="str">
        <f>Area!G15</f>
        <v>1017,1018,1019</v>
      </c>
      <c r="H15">
        <f>Area!H15</f>
        <v>14</v>
      </c>
      <c r="I15" t="str">
        <f>Area!I15</f>
        <v>无</v>
      </c>
      <c r="K15">
        <f t="shared" si="4"/>
        <v>14</v>
      </c>
      <c r="L15">
        <f t="shared" si="1"/>
        <v>9.5</v>
      </c>
      <c r="M15" s="2">
        <f t="shared" si="2"/>
        <v>1112.6767275359</v>
      </c>
      <c r="N15">
        <f t="shared" si="3"/>
        <v>180.5</v>
      </c>
    </row>
    <row r="16" spans="1:14">
      <c r="A16">
        <f>Area!A16</f>
        <v>108</v>
      </c>
      <c r="B16" t="str">
        <f>Area!B16</f>
        <v>宁静森林I</v>
      </c>
      <c r="C16">
        <f>Area!C16</f>
        <v>1</v>
      </c>
      <c r="D16">
        <f>Area!D16</f>
        <v>9</v>
      </c>
      <c r="E16">
        <f>Area!E16</f>
        <v>12</v>
      </c>
      <c r="F16">
        <f>Area!F16</f>
        <v>10</v>
      </c>
      <c r="G16" t="str">
        <f>Area!G16</f>
        <v>1017,1018,1019</v>
      </c>
      <c r="H16">
        <f>Area!H16</f>
        <v>15</v>
      </c>
      <c r="I16" t="str">
        <f>Area!I16</f>
        <v>无</v>
      </c>
      <c r="K16">
        <f t="shared" si="4"/>
        <v>15</v>
      </c>
      <c r="L16">
        <f t="shared" si="1"/>
        <v>10.5</v>
      </c>
      <c r="M16" s="2">
        <f t="shared" si="2"/>
        <v>1429.00332399893</v>
      </c>
      <c r="N16">
        <f t="shared" si="3"/>
        <v>220.5</v>
      </c>
    </row>
    <row r="17" spans="1:14">
      <c r="A17">
        <f>Area!A17</f>
        <v>109</v>
      </c>
      <c r="B17" t="str">
        <f>Area!B17</f>
        <v>宁静森林II</v>
      </c>
      <c r="C17">
        <f>Area!C17</f>
        <v>1</v>
      </c>
      <c r="D17">
        <f>Area!D17</f>
        <v>10</v>
      </c>
      <c r="E17">
        <f>Area!E17</f>
        <v>13</v>
      </c>
      <c r="F17">
        <f>Area!F17</f>
        <v>10</v>
      </c>
      <c r="G17" t="str">
        <f>Area!G17</f>
        <v>1017,1018,1019</v>
      </c>
      <c r="H17">
        <f>Area!H17</f>
        <v>16</v>
      </c>
      <c r="I17" t="str">
        <f>Area!I17</f>
        <v>无</v>
      </c>
      <c r="K17">
        <f t="shared" si="4"/>
        <v>16</v>
      </c>
      <c r="L17">
        <f t="shared" si="1"/>
        <v>11.5</v>
      </c>
      <c r="M17" s="2">
        <f t="shared" si="2"/>
        <v>1793.92628053663</v>
      </c>
      <c r="N17">
        <f t="shared" si="3"/>
        <v>264.5</v>
      </c>
    </row>
    <row r="18" spans="1:14">
      <c r="A18">
        <f>Area!A18</f>
        <v>110</v>
      </c>
      <c r="B18" t="str">
        <f>Area!B18</f>
        <v>宁静森林III</v>
      </c>
      <c r="C18">
        <f>Area!C18</f>
        <v>1</v>
      </c>
      <c r="D18">
        <f>Area!D18</f>
        <v>11</v>
      </c>
      <c r="E18">
        <f>Area!E18</f>
        <v>14</v>
      </c>
      <c r="F18">
        <f>Area!F18</f>
        <v>10</v>
      </c>
      <c r="G18" t="str">
        <f>Area!G18</f>
        <v>1017,1018,1019</v>
      </c>
      <c r="H18">
        <f>Area!H18</f>
        <v>17</v>
      </c>
      <c r="I18" t="str">
        <f>Area!I18</f>
        <v>无</v>
      </c>
      <c r="K18">
        <f t="shared" si="4"/>
        <v>17</v>
      </c>
      <c r="L18">
        <f t="shared" si="1"/>
        <v>12.5</v>
      </c>
      <c r="M18" s="2">
        <f t="shared" si="2"/>
        <v>2209.70869120796</v>
      </c>
      <c r="N18">
        <f t="shared" si="3"/>
        <v>312.5</v>
      </c>
    </row>
    <row r="19" spans="1:14">
      <c r="A19">
        <f>Area!A19</f>
        <v>111</v>
      </c>
      <c r="B19" t="str">
        <f>Area!B19</f>
        <v>城邦小路I</v>
      </c>
      <c r="C19">
        <f>Area!C19</f>
        <v>1</v>
      </c>
      <c r="D19">
        <f>Area!D19</f>
        <v>12</v>
      </c>
      <c r="E19">
        <f>Area!E19</f>
        <v>15</v>
      </c>
      <c r="F19">
        <f>Area!F19</f>
        <v>10</v>
      </c>
      <c r="G19" t="str">
        <f>Area!G19</f>
        <v>1017,1018,1019</v>
      </c>
      <c r="H19">
        <f>Area!H19</f>
        <v>18</v>
      </c>
      <c r="I19" t="str">
        <f>Area!I19</f>
        <v>无</v>
      </c>
      <c r="K19">
        <f t="shared" si="4"/>
        <v>18</v>
      </c>
      <c r="L19">
        <f t="shared" si="1"/>
        <v>13.5</v>
      </c>
      <c r="M19" s="2">
        <f t="shared" si="2"/>
        <v>2678.51703373341</v>
      </c>
      <c r="N19">
        <f t="shared" si="3"/>
        <v>364.5</v>
      </c>
    </row>
    <row r="20" spans="1:14">
      <c r="A20">
        <f>Area!A20</f>
        <v>112</v>
      </c>
      <c r="B20" t="str">
        <f>Area!B20</f>
        <v>城邦小路II</v>
      </c>
      <c r="C20">
        <f>Area!C20</f>
        <v>1</v>
      </c>
      <c r="D20">
        <f>Area!D20</f>
        <v>13</v>
      </c>
      <c r="E20">
        <f>Area!E20</f>
        <v>16</v>
      </c>
      <c r="F20">
        <f>Area!F20</f>
        <v>10</v>
      </c>
      <c r="G20" t="str">
        <f>Area!G20</f>
        <v>1017,1018,1019</v>
      </c>
      <c r="H20">
        <f>Area!H20</f>
        <v>19</v>
      </c>
      <c r="I20" t="str">
        <f>Area!I20</f>
        <v>无</v>
      </c>
      <c r="K20">
        <f t="shared" si="4"/>
        <v>19</v>
      </c>
      <c r="L20">
        <f t="shared" si="1"/>
        <v>14.5</v>
      </c>
      <c r="M20" s="2">
        <f t="shared" si="2"/>
        <v>3202.43259101577</v>
      </c>
      <c r="N20">
        <f t="shared" si="3"/>
        <v>420.5</v>
      </c>
    </row>
    <row r="21" spans="1:14">
      <c r="A21">
        <f>Area!A21</f>
        <v>113</v>
      </c>
      <c r="B21" t="str">
        <f>Area!B21</f>
        <v>城邦小路III</v>
      </c>
      <c r="C21">
        <f>Area!C21</f>
        <v>1</v>
      </c>
      <c r="D21">
        <f>Area!D21</f>
        <v>14</v>
      </c>
      <c r="E21">
        <f>Area!E21</f>
        <v>17</v>
      </c>
      <c r="F21">
        <f>Area!F21</f>
        <v>10</v>
      </c>
      <c r="G21" t="str">
        <f>Area!G21</f>
        <v>1017,1018,1019</v>
      </c>
      <c r="H21">
        <f>Area!H21</f>
        <v>20</v>
      </c>
      <c r="I21" t="str">
        <f>Area!I21</f>
        <v>无</v>
      </c>
      <c r="K21">
        <f t="shared" si="4"/>
        <v>20</v>
      </c>
      <c r="L21">
        <f t="shared" si="1"/>
        <v>15.5</v>
      </c>
      <c r="M21" s="2">
        <f t="shared" si="2"/>
        <v>3783.46078346268</v>
      </c>
      <c r="N21">
        <f t="shared" si="3"/>
        <v>480.5</v>
      </c>
    </row>
  </sheetData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Area</vt:lpstr>
      <vt:lpstr>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</dc:creator>
  <cp:lastModifiedBy>老比样</cp:lastModifiedBy>
  <dcterms:created xsi:type="dcterms:W3CDTF">2014-04-30T08:12:00Z</dcterms:created>
  <dcterms:modified xsi:type="dcterms:W3CDTF">2017-12-11T10:21:54Z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