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695" windowHeight="13635" activeTab="3"/>
  </bookViews>
  <sheets>
    <sheet name="数据索引" sheetId="4" r:id="rId1"/>
    <sheet name="card" sheetId="1" r:id="rId2"/>
    <sheet name="monster" sheetId="2" r:id="rId3"/>
    <sheet name="card数值" sheetId="3" r:id="rId4"/>
    <sheet name="monster数值" sheetId="5" r:id="rId5"/>
  </sheets>
  <calcPr calcId="144525"/>
</workbook>
</file>

<file path=xl/comments1.xml><?xml version="1.0" encoding="utf-8"?>
<comments xmlns="http://schemas.openxmlformats.org/spreadsheetml/2006/main">
  <authors>
    <author>SeASon</author>
  </authors>
  <commentList>
    <comment ref="C1" authorId="0">
      <text>
        <r>
          <rPr>
            <b/>
            <sz val="9"/>
            <rFont val="宋体"/>
            <charset val="134"/>
          </rPr>
          <t>SeASon:</t>
        </r>
        <r>
          <rPr>
            <sz val="9"/>
            <rFont val="宋体"/>
            <charset val="134"/>
          </rPr>
          <t xml:space="preserve">
法力消耗</t>
        </r>
      </text>
    </comment>
    <comment ref="D1" authorId="0">
      <text>
        <r>
          <rPr>
            <b/>
            <sz val="9"/>
            <rFont val="宋体"/>
            <charset val="134"/>
          </rPr>
          <t>SeASon:</t>
        </r>
        <r>
          <rPr>
            <sz val="9"/>
            <rFont val="宋体"/>
            <charset val="134"/>
          </rPr>
          <t xml:space="preserve">
type</t>
        </r>
      </text>
    </comment>
    <comment ref="E1" authorId="0">
      <text>
        <r>
          <rPr>
            <b/>
            <sz val="9"/>
            <rFont val="宋体"/>
            <charset val="134"/>
          </rPr>
          <t>SeASon:</t>
        </r>
        <r>
          <rPr>
            <sz val="9"/>
            <rFont val="宋体"/>
            <charset val="134"/>
          </rPr>
          <t xml:space="preserve">
目标</t>
        </r>
      </text>
    </comment>
    <comment ref="F1" authorId="0">
      <text>
        <r>
          <rPr>
            <b/>
            <sz val="9"/>
            <rFont val="宋体"/>
            <charset val="134"/>
          </rPr>
          <t>SeASon:</t>
        </r>
        <r>
          <rPr>
            <sz val="9"/>
            <rFont val="宋体"/>
            <charset val="134"/>
          </rPr>
          <t xml:space="preserve">
元素属性</t>
        </r>
      </text>
    </comment>
    <comment ref="G1" authorId="0">
      <text>
        <r>
          <rPr>
            <b/>
            <sz val="9"/>
            <rFont val="宋体"/>
            <charset val="134"/>
          </rPr>
          <t>SeASon:</t>
        </r>
        <r>
          <rPr>
            <sz val="9"/>
            <rFont val="宋体"/>
            <charset val="134"/>
          </rPr>
          <t xml:space="preserve">
伤害效果</t>
        </r>
      </text>
    </comment>
    <comment ref="H1" authorId="0">
      <text>
        <r>
          <rPr>
            <b/>
            <sz val="9"/>
            <rFont val="宋体"/>
            <charset val="134"/>
          </rPr>
          <t>SeASon:</t>
        </r>
        <r>
          <rPr>
            <sz val="9"/>
            <rFont val="宋体"/>
            <charset val="134"/>
          </rPr>
          <t xml:space="preserve">
护甲</t>
        </r>
      </text>
    </comment>
  </commentList>
</comments>
</file>

<file path=xl/comments2.xml><?xml version="1.0" encoding="utf-8"?>
<comments xmlns="http://schemas.openxmlformats.org/spreadsheetml/2006/main">
  <authors>
    <author>SeASon</author>
  </authors>
  <commentList>
    <comment ref="C1" authorId="0">
      <text>
        <r>
          <rPr>
            <b/>
            <sz val="9"/>
            <rFont val="宋体"/>
            <charset val="134"/>
          </rPr>
          <t>SeASon:</t>
        </r>
        <r>
          <rPr>
            <sz val="9"/>
            <rFont val="宋体"/>
            <charset val="134"/>
          </rPr>
          <t xml:space="preserve">
法力消耗</t>
        </r>
      </text>
    </comment>
    <comment ref="D1" authorId="0">
      <text>
        <r>
          <rPr>
            <b/>
            <sz val="9"/>
            <rFont val="宋体"/>
            <charset val="134"/>
          </rPr>
          <t>SeASon:</t>
        </r>
        <r>
          <rPr>
            <sz val="9"/>
            <rFont val="宋体"/>
            <charset val="134"/>
          </rPr>
          <t xml:space="preserve">
type</t>
        </r>
      </text>
    </comment>
    <comment ref="E1" authorId="0">
      <text>
        <r>
          <rPr>
            <b/>
            <sz val="9"/>
            <rFont val="宋体"/>
            <charset val="134"/>
          </rPr>
          <t>SeASon:</t>
        </r>
        <r>
          <rPr>
            <sz val="9"/>
            <rFont val="宋体"/>
            <charset val="134"/>
          </rPr>
          <t xml:space="preserve">
目标</t>
        </r>
      </text>
    </comment>
    <comment ref="F1" authorId="0">
      <text>
        <r>
          <rPr>
            <b/>
            <sz val="9"/>
            <rFont val="宋体"/>
            <charset val="134"/>
          </rPr>
          <t>SeASon:</t>
        </r>
        <r>
          <rPr>
            <sz val="9"/>
            <rFont val="宋体"/>
            <charset val="134"/>
          </rPr>
          <t xml:space="preserve">
元素属性</t>
        </r>
      </text>
    </comment>
    <comment ref="G1" authorId="0">
      <text>
        <r>
          <rPr>
            <b/>
            <sz val="9"/>
            <rFont val="宋体"/>
            <charset val="134"/>
          </rPr>
          <t>SeASon:</t>
        </r>
        <r>
          <rPr>
            <sz val="9"/>
            <rFont val="宋体"/>
            <charset val="134"/>
          </rPr>
          <t xml:space="preserve">
伤害效果</t>
        </r>
      </text>
    </comment>
    <comment ref="H1" authorId="0">
      <text>
        <r>
          <rPr>
            <b/>
            <sz val="9"/>
            <rFont val="宋体"/>
            <charset val="134"/>
          </rPr>
          <t>SeASon:</t>
        </r>
        <r>
          <rPr>
            <sz val="9"/>
            <rFont val="宋体"/>
            <charset val="134"/>
          </rPr>
          <t xml:space="preserve">
护甲</t>
        </r>
      </text>
    </comment>
    <comment ref="K1" authorId="0">
      <text>
        <r>
          <rPr>
            <b/>
            <sz val="9"/>
            <rFont val="宋体"/>
            <charset val="134"/>
          </rPr>
          <t>SeASon:</t>
        </r>
        <r>
          <rPr>
            <sz val="9"/>
            <rFont val="宋体"/>
            <charset val="134"/>
          </rPr>
          <t xml:space="preserve">
平衡价值</t>
        </r>
      </text>
    </comment>
  </commentList>
</comments>
</file>

<file path=xl/sharedStrings.xml><?xml version="1.0" encoding="utf-8"?>
<sst xmlns="http://schemas.openxmlformats.org/spreadsheetml/2006/main" count="72">
  <si>
    <t>耗费</t>
  </si>
  <si>
    <t>value</t>
  </si>
  <si>
    <t>卡牌类型(type</t>
  </si>
  <si>
    <t>目标(aim</t>
  </si>
  <si>
    <t>元素属性(element</t>
  </si>
  <si>
    <t>普通</t>
  </si>
  <si>
    <t>使用后进入弃牌堆</t>
  </si>
  <si>
    <t>无</t>
  </si>
  <si>
    <t>能力</t>
  </si>
  <si>
    <t>使用一次后消失</t>
  </si>
  <si>
    <t>敌方指定单体</t>
  </si>
  <si>
    <t>火</t>
  </si>
  <si>
    <t>克风，相克伤害+50%，被克伤害-50%</t>
  </si>
  <si>
    <t>我方指定单体</t>
  </si>
  <si>
    <t>水</t>
  </si>
  <si>
    <t>克火</t>
  </si>
  <si>
    <t>敌方全体</t>
  </si>
  <si>
    <t>风</t>
  </si>
  <si>
    <t>克土</t>
  </si>
  <si>
    <t>我方全体</t>
  </si>
  <si>
    <t>土</t>
  </si>
  <si>
    <t>克水</t>
  </si>
  <si>
    <t>敌方前排</t>
  </si>
  <si>
    <t>我方前排</t>
  </si>
  <si>
    <t>敌方后排</t>
  </si>
  <si>
    <t>我方后排</t>
  </si>
  <si>
    <t>id</t>
  </si>
  <si>
    <t>name</t>
  </si>
  <si>
    <t>ap</t>
  </si>
  <si>
    <t>type</t>
  </si>
  <si>
    <t>aim</t>
  </si>
  <si>
    <t>element</t>
  </si>
  <si>
    <t>damage</t>
  </si>
  <si>
    <t>armor</t>
  </si>
  <si>
    <t>img</t>
  </si>
  <si>
    <t>desc</t>
  </si>
  <si>
    <t>hp</t>
  </si>
  <si>
    <t>cards</t>
  </si>
  <si>
    <t>斩击</t>
  </si>
  <si>
    <t>攻击目标</t>
  </si>
  <si>
    <t>damage价值权重</t>
  </si>
  <si>
    <t>防御</t>
  </si>
  <si>
    <t>生成护甲，护甲只保存到下个回合</t>
  </si>
  <si>
    <t>armor价值权重</t>
  </si>
  <si>
    <t>恢复</t>
  </si>
  <si>
    <t>治疗自己</t>
  </si>
  <si>
    <t>恢复价值权重</t>
  </si>
  <si>
    <t>斩击·火</t>
  </si>
  <si>
    <t>对风属性有特效</t>
  </si>
  <si>
    <t>斩击·水</t>
  </si>
  <si>
    <t>对水属性有特效</t>
  </si>
  <si>
    <t>斩击·风</t>
  </si>
  <si>
    <t>对土属性有特效</t>
  </si>
  <si>
    <t>斩击·土</t>
  </si>
  <si>
    <t>原始无属性</t>
  </si>
  <si>
    <t>入场时触发使用，将目标变为无属性</t>
  </si>
  <si>
    <t>原始火属性</t>
  </si>
  <si>
    <t>入场时触发使用，将目标变为火属性</t>
  </si>
  <si>
    <t>原始水属性</t>
  </si>
  <si>
    <t>入场时触发使用，将目标变为水属性</t>
  </si>
  <si>
    <t>原始风属性</t>
  </si>
  <si>
    <t>入场时触发使用，将目标变为风属性</t>
  </si>
  <si>
    <t>原始土属性</t>
  </si>
  <si>
    <t>入场时触发使用，将目标变为地属性</t>
  </si>
  <si>
    <t>暂以value 1000作为标准</t>
  </si>
  <si>
    <t>value作为平衡值暂定公式为：(类型价值权重 + (元素价值权重 + 效果值价值权重) * 目标价值权重) / ap价值权重</t>
  </si>
  <si>
    <t>value在游戏中作为炼金值评估，超出则无法炼制</t>
  </si>
  <si>
    <t>普通的怪</t>
  </si>
  <si>
    <t>火元素</t>
  </si>
  <si>
    <t>水元素</t>
  </si>
  <si>
    <t>风元素</t>
  </si>
  <si>
    <t>土元素</t>
  </si>
</sst>
</file>

<file path=xl/styles.xml><?xml version="1.0" encoding="utf-8"?>
<styleSheet xmlns="http://schemas.openxmlformats.org/spreadsheetml/2006/main">
  <numFmts count="5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176" formatCode="0.00_ "/>
  </numFmts>
  <fonts count="21">
    <font>
      <sz val="11"/>
      <color theme="1"/>
      <name val="宋体"/>
      <charset val="134"/>
      <scheme val="minor"/>
    </font>
    <font>
      <sz val="11"/>
      <color theme="1" tint="0.5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14" fillId="23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16" borderId="3" applyNumberFormat="0" applyFont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0" fillId="20" borderId="4" applyNumberFormat="0" applyAlignment="0" applyProtection="0">
      <alignment vertical="center"/>
    </xf>
    <xf numFmtId="0" fontId="18" fillId="20" borderId="6" applyNumberFormat="0" applyAlignment="0" applyProtection="0">
      <alignment vertical="center"/>
    </xf>
    <xf numFmtId="0" fontId="15" fillId="24" borderId="7" applyNumberFormat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>
      <alignment vertical="center"/>
    </xf>
    <xf numFmtId="176" fontId="0" fillId="0" borderId="0" xfId="0" applyNumberFormat="1">
      <alignment vertical="center"/>
    </xf>
    <xf numFmtId="0" fontId="0" fillId="0" borderId="1" xfId="0" applyBorder="1">
      <alignment vertical="center"/>
    </xf>
    <xf numFmtId="0" fontId="1" fillId="0" borderId="1" xfId="0" applyFont="1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DEF1DE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0"/>
  <sheetViews>
    <sheetView workbookViewId="0">
      <selection activeCell="E3" sqref="E3"/>
    </sheetView>
  </sheetViews>
  <sheetFormatPr defaultColWidth="9" defaultRowHeight="13.5"/>
  <cols>
    <col min="1" max="1" width="5.125" customWidth="1"/>
    <col min="2" max="2" width="6.375" customWidth="1"/>
    <col min="4" max="4" width="14.375" customWidth="1"/>
    <col min="5" max="5" width="8.875" customWidth="1"/>
    <col min="6" max="6" width="5.125" customWidth="1"/>
    <col min="7" max="7" width="17.125" customWidth="1"/>
    <col min="9" max="9" width="9.125" customWidth="1"/>
    <col min="10" max="10" width="6.375" customWidth="1"/>
    <col min="11" max="11" width="12.875" customWidth="1"/>
    <col min="13" max="13" width="17.625" customWidth="1"/>
    <col min="14" max="14" width="8.875" customWidth="1"/>
    <col min="15" max="15" width="3.25" customWidth="1"/>
    <col min="16" max="16" width="34.375" customWidth="1"/>
  </cols>
  <sheetData>
    <row r="1" spans="1:16">
      <c r="A1" s="3" t="s">
        <v>0</v>
      </c>
      <c r="B1" s="3" t="s">
        <v>1</v>
      </c>
      <c r="D1" s="1" t="s">
        <v>2</v>
      </c>
      <c r="E1" s="1" t="s">
        <v>1</v>
      </c>
      <c r="F1" s="1"/>
      <c r="G1" s="1"/>
      <c r="I1" s="1" t="s">
        <v>3</v>
      </c>
      <c r="J1" s="1" t="s">
        <v>1</v>
      </c>
      <c r="K1" s="1"/>
      <c r="M1" s="1" t="s">
        <v>4</v>
      </c>
      <c r="N1" s="1" t="s">
        <v>1</v>
      </c>
      <c r="O1" s="1"/>
      <c r="P1" s="1"/>
    </row>
    <row r="2" spans="1:16">
      <c r="A2" s="3">
        <v>0</v>
      </c>
      <c r="B2" s="3">
        <v>0.5</v>
      </c>
      <c r="D2" s="1">
        <v>0</v>
      </c>
      <c r="E2" s="1">
        <v>100</v>
      </c>
      <c r="F2" s="1" t="s">
        <v>5</v>
      </c>
      <c r="G2" s="1" t="s">
        <v>6</v>
      </c>
      <c r="I2" s="1">
        <v>0</v>
      </c>
      <c r="J2" s="1">
        <v>0</v>
      </c>
      <c r="K2" s="1" t="s">
        <v>7</v>
      </c>
      <c r="M2" s="1">
        <v>0</v>
      </c>
      <c r="N2" s="1">
        <v>200</v>
      </c>
      <c r="O2" s="1" t="s">
        <v>7</v>
      </c>
      <c r="P2" s="1"/>
    </row>
    <row r="3" spans="1:16">
      <c r="A3" s="3">
        <v>1</v>
      </c>
      <c r="B3" s="3">
        <v>1</v>
      </c>
      <c r="D3" s="1">
        <v>1</v>
      </c>
      <c r="E3" s="1">
        <v>200</v>
      </c>
      <c r="F3" s="1" t="s">
        <v>8</v>
      </c>
      <c r="G3" s="1" t="s">
        <v>9</v>
      </c>
      <c r="I3" s="1">
        <v>1</v>
      </c>
      <c r="J3" s="1">
        <v>1</v>
      </c>
      <c r="K3" s="1" t="s">
        <v>10</v>
      </c>
      <c r="M3" s="1">
        <v>1</v>
      </c>
      <c r="N3" s="1">
        <v>250</v>
      </c>
      <c r="O3" s="1" t="s">
        <v>11</v>
      </c>
      <c r="P3" s="1" t="s">
        <v>12</v>
      </c>
    </row>
    <row r="4" spans="1:16">
      <c r="A4" s="3">
        <v>2</v>
      </c>
      <c r="B4" s="3">
        <v>2</v>
      </c>
      <c r="I4" s="1">
        <v>2</v>
      </c>
      <c r="J4" s="1">
        <v>1</v>
      </c>
      <c r="K4" s="1" t="s">
        <v>13</v>
      </c>
      <c r="M4" s="1">
        <v>2</v>
      </c>
      <c r="N4" s="1">
        <v>250</v>
      </c>
      <c r="O4" s="1" t="s">
        <v>14</v>
      </c>
      <c r="P4" s="1" t="s">
        <v>15</v>
      </c>
    </row>
    <row r="5" spans="1:16">
      <c r="A5" s="3">
        <v>3</v>
      </c>
      <c r="B5" s="3">
        <v>3</v>
      </c>
      <c r="I5" s="1">
        <v>3</v>
      </c>
      <c r="J5" s="1">
        <v>2.5</v>
      </c>
      <c r="K5" s="1" t="s">
        <v>16</v>
      </c>
      <c r="M5" s="1">
        <v>3</v>
      </c>
      <c r="N5" s="1">
        <v>250</v>
      </c>
      <c r="O5" s="1" t="s">
        <v>17</v>
      </c>
      <c r="P5" s="1" t="s">
        <v>18</v>
      </c>
    </row>
    <row r="6" spans="9:16">
      <c r="I6" s="1">
        <v>4</v>
      </c>
      <c r="J6" s="1">
        <v>2.5</v>
      </c>
      <c r="K6" s="1" t="s">
        <v>19</v>
      </c>
      <c r="M6" s="1">
        <v>4</v>
      </c>
      <c r="N6" s="1">
        <v>250</v>
      </c>
      <c r="O6" s="1" t="s">
        <v>20</v>
      </c>
      <c r="P6" s="1" t="s">
        <v>21</v>
      </c>
    </row>
    <row r="7" spans="9:11">
      <c r="I7" s="4">
        <v>5</v>
      </c>
      <c r="J7" s="4">
        <v>0</v>
      </c>
      <c r="K7" s="4" t="s">
        <v>22</v>
      </c>
    </row>
    <row r="8" spans="9:11">
      <c r="I8" s="4">
        <v>6</v>
      </c>
      <c r="J8" s="4">
        <v>0</v>
      </c>
      <c r="K8" s="4" t="s">
        <v>23</v>
      </c>
    </row>
    <row r="9" spans="9:11">
      <c r="I9" s="4">
        <v>7</v>
      </c>
      <c r="J9" s="4">
        <v>0</v>
      </c>
      <c r="K9" s="4" t="s">
        <v>24</v>
      </c>
    </row>
    <row r="10" spans="9:11">
      <c r="I10" s="4">
        <v>8</v>
      </c>
      <c r="J10" s="4">
        <v>0</v>
      </c>
      <c r="K10" s="4" t="s">
        <v>25</v>
      </c>
    </row>
  </sheetData>
  <pageMargins left="0.75" right="0.75" top="1" bottom="1" header="0.511805555555556" footer="0.511805555555556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3"/>
  <sheetViews>
    <sheetView workbookViewId="0">
      <selection activeCell="H34" sqref="H34"/>
    </sheetView>
  </sheetViews>
  <sheetFormatPr defaultColWidth="9" defaultRowHeight="13.5"/>
  <cols>
    <col min="1" max="1" width="5.375" customWidth="1"/>
    <col min="2" max="2" width="10.875" customWidth="1"/>
    <col min="3" max="3" width="5.375" customWidth="1"/>
    <col min="4" max="4" width="5.125" customWidth="1"/>
    <col min="5" max="5" width="4.375" customWidth="1"/>
    <col min="6" max="6" width="8.375" customWidth="1"/>
    <col min="7" max="7" width="7.375" customWidth="1"/>
    <col min="8" max="8" width="6.375" customWidth="1"/>
    <col min="9" max="9" width="5.375" customWidth="1"/>
    <col min="10" max="10" width="33.75" customWidth="1"/>
  </cols>
  <sheetData>
    <row r="1" spans="1:10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</row>
    <row r="2" spans="1:10">
      <c r="A2" s="1">
        <f>card数值!A2</f>
        <v>1001</v>
      </c>
      <c r="B2" s="1" t="str">
        <f>VLOOKUP($A2,card数值!$A:$AB,MATCH(B$1,card数值!$1:$1,0),FALSE)</f>
        <v>斩击</v>
      </c>
      <c r="C2" s="1">
        <f>VLOOKUP($A2,card数值!$A:$AB,MATCH(C$1,card数值!$1:$1,0),FALSE)</f>
        <v>1</v>
      </c>
      <c r="D2" s="1">
        <f>VLOOKUP($A2,card数值!$A:$AB,MATCH(D$1,card数值!$1:$1,0),FALSE)</f>
        <v>0</v>
      </c>
      <c r="E2" s="1">
        <f>VLOOKUP($A2,card数值!$A:$AB,MATCH(E$1,card数值!$1:$1,0),FALSE)</f>
        <v>2</v>
      </c>
      <c r="F2" s="1">
        <f>VLOOKUP($A2,card数值!$A:$AB,MATCH(F$1,card数值!$1:$1,0),FALSE)</f>
        <v>0</v>
      </c>
      <c r="G2" s="1">
        <f>VLOOKUP($A2,card数值!$A:$AB,MATCH(G$1,card数值!$1:$1,0),FALSE)</f>
        <v>-7</v>
      </c>
      <c r="H2" s="1">
        <f>VLOOKUP($A2,card数值!$A:$AB,MATCH(H$1,card数值!$1:$1,0),FALSE)</f>
        <v>0</v>
      </c>
      <c r="I2" s="1">
        <f>VLOOKUP($A2,card数值!$A:$AB,MATCH(I$1,card数值!$1:$1,0),FALSE)</f>
        <v>1001</v>
      </c>
      <c r="J2" s="1" t="str">
        <f>VLOOKUP($A2,card数值!$A:$AB,MATCH(J$1,card数值!$1:$1,0),FALSE)</f>
        <v>攻击目标</v>
      </c>
    </row>
    <row r="3" spans="1:10">
      <c r="A3" s="1">
        <f>card数值!A3</f>
        <v>1002</v>
      </c>
      <c r="B3" s="1" t="str">
        <f>VLOOKUP($A3,card数值!$A:$AB,MATCH(B$1,card数值!$1:$1,0),FALSE)</f>
        <v>防御</v>
      </c>
      <c r="C3" s="1">
        <f>VLOOKUP($A3,card数值!$A:$AB,MATCH(C$1,card数值!$1:$1,0),FALSE)</f>
        <v>1</v>
      </c>
      <c r="D3" s="1">
        <f>VLOOKUP($A3,card数值!$A:$AB,MATCH(D$1,card数值!$1:$1,0),FALSE)</f>
        <v>0</v>
      </c>
      <c r="E3" s="1">
        <f>VLOOKUP($A3,card数值!$A:$AB,MATCH(E$1,card数值!$1:$1,0),FALSE)</f>
        <v>2</v>
      </c>
      <c r="F3" s="1">
        <f>VLOOKUP($A3,card数值!$A:$AB,MATCH(F$1,card数值!$1:$1,0),FALSE)</f>
        <v>0</v>
      </c>
      <c r="G3" s="1">
        <f>VLOOKUP($A3,card数值!$A:$AB,MATCH(G$1,card数值!$1:$1,0),FALSE)</f>
        <v>0</v>
      </c>
      <c r="H3" s="1">
        <f>VLOOKUP($A3,card数值!$A:$AB,MATCH(H$1,card数值!$1:$1,0),FALSE)</f>
        <v>6</v>
      </c>
      <c r="I3" s="1">
        <f>VLOOKUP($A3,card数值!$A:$AB,MATCH(I$1,card数值!$1:$1,0),FALSE)</f>
        <v>1002</v>
      </c>
      <c r="J3" s="1" t="str">
        <f>VLOOKUP($A3,card数值!$A:$AB,MATCH(J$1,card数值!$1:$1,0),FALSE)</f>
        <v>生成护甲，护甲只保存到下个回合</v>
      </c>
    </row>
    <row r="4" spans="1:10">
      <c r="A4" s="1">
        <f>card数值!A4</f>
        <v>1003</v>
      </c>
      <c r="B4" s="1" t="str">
        <f>VLOOKUP($A4,card数值!$A:$AB,MATCH(B$1,card数值!$1:$1,0),FALSE)</f>
        <v>恢复</v>
      </c>
      <c r="C4" s="1">
        <f>VLOOKUP($A4,card数值!$A:$AB,MATCH(C$1,card数值!$1:$1,0),FALSE)</f>
        <v>1</v>
      </c>
      <c r="D4" s="1">
        <f>VLOOKUP($A4,card数值!$A:$AB,MATCH(D$1,card数值!$1:$1,0),FALSE)</f>
        <v>0</v>
      </c>
      <c r="E4" s="1">
        <f>VLOOKUP($A4,card数值!$A:$AB,MATCH(E$1,card数值!$1:$1,0),FALSE)</f>
        <v>2</v>
      </c>
      <c r="F4" s="1">
        <f>VLOOKUP($A4,card数值!$A:$AB,MATCH(F$1,card数值!$1:$1,0),FALSE)</f>
        <v>0</v>
      </c>
      <c r="G4" s="1">
        <f>VLOOKUP($A4,card数值!$A:$AB,MATCH(G$1,card数值!$1:$1,0),FALSE)</f>
        <v>5</v>
      </c>
      <c r="H4" s="1">
        <f>VLOOKUP($A4,card数值!$A:$AB,MATCH(H$1,card数值!$1:$1,0),FALSE)</f>
        <v>0</v>
      </c>
      <c r="I4" s="1">
        <f>VLOOKUP($A4,card数值!$A:$AB,MATCH(I$1,card数值!$1:$1,0),FALSE)</f>
        <v>1003</v>
      </c>
      <c r="J4" s="1" t="str">
        <f>VLOOKUP($A4,card数值!$A:$AB,MATCH(J$1,card数值!$1:$1,0),FALSE)</f>
        <v>治疗自己</v>
      </c>
    </row>
    <row r="5" spans="1:10">
      <c r="A5" s="1">
        <f>card数值!A5</f>
        <v>1004</v>
      </c>
      <c r="B5" s="1" t="str">
        <f>VLOOKUP($A5,card数值!$A:$AB,MATCH(B$1,card数值!$1:$1,0),FALSE)</f>
        <v>斩击·火</v>
      </c>
      <c r="C5" s="1">
        <f>VLOOKUP($A5,card数值!$A:$AB,MATCH(C$1,card数值!$1:$1,0),FALSE)</f>
        <v>1</v>
      </c>
      <c r="D5" s="1">
        <f>VLOOKUP($A5,card数值!$A:$AB,MATCH(D$1,card数值!$1:$1,0),FALSE)</f>
        <v>0</v>
      </c>
      <c r="E5" s="1">
        <f>VLOOKUP($A5,card数值!$A:$AB,MATCH(E$1,card数值!$1:$1,0),FALSE)</f>
        <v>1</v>
      </c>
      <c r="F5" s="1">
        <f>VLOOKUP($A5,card数值!$A:$AB,MATCH(F$1,card数值!$1:$1,0),FALSE)</f>
        <v>1</v>
      </c>
      <c r="G5" s="1">
        <f>VLOOKUP($A5,card数值!$A:$AB,MATCH(G$1,card数值!$1:$1,0),FALSE)</f>
        <v>-6</v>
      </c>
      <c r="H5" s="1">
        <f>VLOOKUP($A5,card数值!$A:$AB,MATCH(H$1,card数值!$1:$1,0),FALSE)</f>
        <v>0</v>
      </c>
      <c r="I5" s="1">
        <f>VLOOKUP($A5,card数值!$A:$AB,MATCH(I$1,card数值!$1:$1,0),FALSE)</f>
        <v>1004</v>
      </c>
      <c r="J5" s="1" t="str">
        <f>VLOOKUP($A5,card数值!$A:$AB,MATCH(J$1,card数值!$1:$1,0),FALSE)</f>
        <v>对风属性有特效</v>
      </c>
    </row>
    <row r="6" spans="1:10">
      <c r="A6" s="1">
        <f>card数值!A6</f>
        <v>1005</v>
      </c>
      <c r="B6" s="1" t="str">
        <f>VLOOKUP($A6,card数值!$A:$AB,MATCH(B$1,card数值!$1:$1,0),FALSE)</f>
        <v>斩击·水</v>
      </c>
      <c r="C6" s="1">
        <f>VLOOKUP($A6,card数值!$A:$AB,MATCH(C$1,card数值!$1:$1,0),FALSE)</f>
        <v>1</v>
      </c>
      <c r="D6" s="1">
        <f>VLOOKUP($A6,card数值!$A:$AB,MATCH(D$1,card数值!$1:$1,0),FALSE)</f>
        <v>0</v>
      </c>
      <c r="E6" s="1">
        <f>VLOOKUP($A6,card数值!$A:$AB,MATCH(E$1,card数值!$1:$1,0),FALSE)</f>
        <v>1</v>
      </c>
      <c r="F6" s="1">
        <f>VLOOKUP($A6,card数值!$A:$AB,MATCH(F$1,card数值!$1:$1,0),FALSE)</f>
        <v>2</v>
      </c>
      <c r="G6" s="1">
        <f>VLOOKUP($A6,card数值!$A:$AB,MATCH(G$1,card数值!$1:$1,0),FALSE)</f>
        <v>-6</v>
      </c>
      <c r="H6" s="1">
        <f>VLOOKUP($A6,card数值!$A:$AB,MATCH(H$1,card数值!$1:$1,0),FALSE)</f>
        <v>0</v>
      </c>
      <c r="I6" s="1">
        <f>VLOOKUP($A6,card数值!$A:$AB,MATCH(I$1,card数值!$1:$1,0),FALSE)</f>
        <v>1005</v>
      </c>
      <c r="J6" s="1" t="str">
        <f>VLOOKUP($A6,card数值!$A:$AB,MATCH(J$1,card数值!$1:$1,0),FALSE)</f>
        <v>对水属性有特效</v>
      </c>
    </row>
    <row r="7" spans="1:10">
      <c r="A7" s="1">
        <f>card数值!A7</f>
        <v>1006</v>
      </c>
      <c r="B7" s="1" t="str">
        <f>VLOOKUP($A7,card数值!$A:$AB,MATCH(B$1,card数值!$1:$1,0),FALSE)</f>
        <v>斩击·风</v>
      </c>
      <c r="C7" s="1">
        <f>VLOOKUP($A7,card数值!$A:$AB,MATCH(C$1,card数值!$1:$1,0),FALSE)</f>
        <v>1</v>
      </c>
      <c r="D7" s="1">
        <f>VLOOKUP($A7,card数值!$A:$AB,MATCH(D$1,card数值!$1:$1,0),FALSE)</f>
        <v>0</v>
      </c>
      <c r="E7" s="1">
        <f>VLOOKUP($A7,card数值!$A:$AB,MATCH(E$1,card数值!$1:$1,0),FALSE)</f>
        <v>1</v>
      </c>
      <c r="F7" s="1">
        <f>VLOOKUP($A7,card数值!$A:$AB,MATCH(F$1,card数值!$1:$1,0),FALSE)</f>
        <v>3</v>
      </c>
      <c r="G7" s="1">
        <f>VLOOKUP($A7,card数值!$A:$AB,MATCH(G$1,card数值!$1:$1,0),FALSE)</f>
        <v>-6</v>
      </c>
      <c r="H7" s="1">
        <f>VLOOKUP($A7,card数值!$A:$AB,MATCH(H$1,card数值!$1:$1,0),FALSE)</f>
        <v>0</v>
      </c>
      <c r="I7" s="1">
        <f>VLOOKUP($A7,card数值!$A:$AB,MATCH(I$1,card数值!$1:$1,0),FALSE)</f>
        <v>1006</v>
      </c>
      <c r="J7" s="1" t="str">
        <f>VLOOKUP($A7,card数值!$A:$AB,MATCH(J$1,card数值!$1:$1,0),FALSE)</f>
        <v>对土属性有特效</v>
      </c>
    </row>
    <row r="8" spans="1:10">
      <c r="A8" s="1">
        <f>card数值!A8</f>
        <v>1007</v>
      </c>
      <c r="B8" s="1" t="str">
        <f>VLOOKUP($A8,card数值!$A:$AB,MATCH(B$1,card数值!$1:$1,0),FALSE)</f>
        <v>斩击·土</v>
      </c>
      <c r="C8" s="1">
        <f>VLOOKUP($A8,card数值!$A:$AB,MATCH(C$1,card数值!$1:$1,0),FALSE)</f>
        <v>1</v>
      </c>
      <c r="D8" s="1">
        <f>VLOOKUP($A8,card数值!$A:$AB,MATCH(D$1,card数值!$1:$1,0),FALSE)</f>
        <v>0</v>
      </c>
      <c r="E8" s="1">
        <f>VLOOKUP($A8,card数值!$A:$AB,MATCH(E$1,card数值!$1:$1,0),FALSE)</f>
        <v>1</v>
      </c>
      <c r="F8" s="1">
        <f>VLOOKUP($A8,card数值!$A:$AB,MATCH(F$1,card数值!$1:$1,0),FALSE)</f>
        <v>4</v>
      </c>
      <c r="G8" s="1">
        <f>VLOOKUP($A8,card数值!$A:$AB,MATCH(G$1,card数值!$1:$1,0),FALSE)</f>
        <v>-6</v>
      </c>
      <c r="H8" s="1">
        <f>VLOOKUP($A8,card数值!$A:$AB,MATCH(H$1,card数值!$1:$1,0),FALSE)</f>
        <v>0</v>
      </c>
      <c r="I8" s="1">
        <f>VLOOKUP($A8,card数值!$A:$AB,MATCH(I$1,card数值!$1:$1,0),FALSE)</f>
        <v>1007</v>
      </c>
      <c r="J8" s="1" t="str">
        <f>VLOOKUP($A8,card数值!$A:$AB,MATCH(J$1,card数值!$1:$1,0),FALSE)</f>
        <v>对水属性有特效</v>
      </c>
    </row>
    <row r="9" spans="1:10">
      <c r="A9" s="1">
        <f>card数值!A9</f>
        <v>1008</v>
      </c>
      <c r="B9" s="1" t="str">
        <f>VLOOKUP($A9,card数值!$A:$AB,MATCH(B$1,card数值!$1:$1,0),FALSE)</f>
        <v>原始无属性</v>
      </c>
      <c r="C9" s="1">
        <f>VLOOKUP($A9,card数值!$A:$AB,MATCH(C$1,card数值!$1:$1,0),FALSE)</f>
        <v>0</v>
      </c>
      <c r="D9" s="1">
        <f>VLOOKUP($A9,card数值!$A:$AB,MATCH(D$1,card数值!$1:$1,0),FALSE)</f>
        <v>1</v>
      </c>
      <c r="E9" s="1">
        <f>VLOOKUP($A9,card数值!$A:$AB,MATCH(E$1,card数值!$1:$1,0),FALSE)</f>
        <v>2</v>
      </c>
      <c r="F9" s="1">
        <f>VLOOKUP($A9,card数值!$A:$AB,MATCH(F$1,card数值!$1:$1,0),FALSE)</f>
        <v>0</v>
      </c>
      <c r="G9" s="1">
        <f>VLOOKUP($A9,card数值!$A:$AB,MATCH(G$1,card数值!$1:$1,0),FALSE)</f>
        <v>0</v>
      </c>
      <c r="H9" s="1">
        <f>VLOOKUP($A9,card数值!$A:$AB,MATCH(H$1,card数值!$1:$1,0),FALSE)</f>
        <v>0</v>
      </c>
      <c r="I9" s="1">
        <f>VLOOKUP($A9,card数值!$A:$AB,MATCH(I$1,card数值!$1:$1,0),FALSE)</f>
        <v>1008</v>
      </c>
      <c r="J9" s="1" t="str">
        <f>VLOOKUP($A9,card数值!$A:$AB,MATCH(J$1,card数值!$1:$1,0),FALSE)</f>
        <v>入场时触发使用，将目标变为无属性</v>
      </c>
    </row>
    <row r="10" spans="1:10">
      <c r="A10" s="1">
        <f>card数值!A10</f>
        <v>1009</v>
      </c>
      <c r="B10" s="1" t="str">
        <f>VLOOKUP($A10,card数值!$A:$AB,MATCH(B$1,card数值!$1:$1,0),FALSE)</f>
        <v>原始火属性</v>
      </c>
      <c r="C10" s="1">
        <f>VLOOKUP($A10,card数值!$A:$AB,MATCH(C$1,card数值!$1:$1,0),FALSE)</f>
        <v>0</v>
      </c>
      <c r="D10" s="1">
        <f>VLOOKUP($A10,card数值!$A:$AB,MATCH(D$1,card数值!$1:$1,0),FALSE)</f>
        <v>1</v>
      </c>
      <c r="E10" s="1">
        <f>VLOOKUP($A10,card数值!$A:$AB,MATCH(E$1,card数值!$1:$1,0),FALSE)</f>
        <v>2</v>
      </c>
      <c r="F10" s="1">
        <f>VLOOKUP($A10,card数值!$A:$AB,MATCH(F$1,card数值!$1:$1,0),FALSE)</f>
        <v>1</v>
      </c>
      <c r="G10" s="1">
        <f>VLOOKUP($A10,card数值!$A:$AB,MATCH(G$1,card数值!$1:$1,0),FALSE)</f>
        <v>0</v>
      </c>
      <c r="H10" s="1">
        <f>VLOOKUP($A10,card数值!$A:$AB,MATCH(H$1,card数值!$1:$1,0),FALSE)</f>
        <v>0</v>
      </c>
      <c r="I10" s="1">
        <f>VLOOKUP($A10,card数值!$A:$AB,MATCH(I$1,card数值!$1:$1,0),FALSE)</f>
        <v>1009</v>
      </c>
      <c r="J10" s="1" t="str">
        <f>VLOOKUP($A10,card数值!$A:$AB,MATCH(J$1,card数值!$1:$1,0),FALSE)</f>
        <v>入场时触发使用，将目标变为火属性</v>
      </c>
    </row>
    <row r="11" spans="1:10">
      <c r="A11" s="1">
        <f>card数值!A11</f>
        <v>1010</v>
      </c>
      <c r="B11" s="1" t="str">
        <f>VLOOKUP($A11,card数值!$A:$AB,MATCH(B$1,card数值!$1:$1,0),FALSE)</f>
        <v>原始水属性</v>
      </c>
      <c r="C11" s="1">
        <f>VLOOKUP($A11,card数值!$A:$AB,MATCH(C$1,card数值!$1:$1,0),FALSE)</f>
        <v>0</v>
      </c>
      <c r="D11" s="1">
        <f>VLOOKUP($A11,card数值!$A:$AB,MATCH(D$1,card数值!$1:$1,0),FALSE)</f>
        <v>1</v>
      </c>
      <c r="E11" s="1">
        <f>VLOOKUP($A11,card数值!$A:$AB,MATCH(E$1,card数值!$1:$1,0),FALSE)</f>
        <v>2</v>
      </c>
      <c r="F11" s="1">
        <f>VLOOKUP($A11,card数值!$A:$AB,MATCH(F$1,card数值!$1:$1,0),FALSE)</f>
        <v>2</v>
      </c>
      <c r="G11" s="1">
        <f>VLOOKUP($A11,card数值!$A:$AB,MATCH(G$1,card数值!$1:$1,0),FALSE)</f>
        <v>0</v>
      </c>
      <c r="H11" s="1">
        <f>VLOOKUP($A11,card数值!$A:$AB,MATCH(H$1,card数值!$1:$1,0),FALSE)</f>
        <v>0</v>
      </c>
      <c r="I11" s="1">
        <f>VLOOKUP($A11,card数值!$A:$AB,MATCH(I$1,card数值!$1:$1,0),FALSE)</f>
        <v>1010</v>
      </c>
      <c r="J11" s="1" t="str">
        <f>VLOOKUP($A11,card数值!$A:$AB,MATCH(J$1,card数值!$1:$1,0),FALSE)</f>
        <v>入场时触发使用，将目标变为水属性</v>
      </c>
    </row>
    <row r="12" spans="1:10">
      <c r="A12" s="1">
        <f>card数值!A12</f>
        <v>1011</v>
      </c>
      <c r="B12" s="1" t="str">
        <f>VLOOKUP($A12,card数值!$A:$AB,MATCH(B$1,card数值!$1:$1,0),FALSE)</f>
        <v>原始风属性</v>
      </c>
      <c r="C12" s="1">
        <f>VLOOKUP($A12,card数值!$A:$AB,MATCH(C$1,card数值!$1:$1,0),FALSE)</f>
        <v>0</v>
      </c>
      <c r="D12" s="1">
        <f>VLOOKUP($A12,card数值!$A:$AB,MATCH(D$1,card数值!$1:$1,0),FALSE)</f>
        <v>1</v>
      </c>
      <c r="E12" s="1">
        <f>VLOOKUP($A12,card数值!$A:$AB,MATCH(E$1,card数值!$1:$1,0),FALSE)</f>
        <v>2</v>
      </c>
      <c r="F12" s="1">
        <f>VLOOKUP($A12,card数值!$A:$AB,MATCH(F$1,card数值!$1:$1,0),FALSE)</f>
        <v>3</v>
      </c>
      <c r="G12" s="1">
        <f>VLOOKUP($A12,card数值!$A:$AB,MATCH(G$1,card数值!$1:$1,0),FALSE)</f>
        <v>0</v>
      </c>
      <c r="H12" s="1">
        <f>VLOOKUP($A12,card数值!$A:$AB,MATCH(H$1,card数值!$1:$1,0),FALSE)</f>
        <v>0</v>
      </c>
      <c r="I12" s="1">
        <f>VLOOKUP($A12,card数值!$A:$AB,MATCH(I$1,card数值!$1:$1,0),FALSE)</f>
        <v>1011</v>
      </c>
      <c r="J12" s="1" t="str">
        <f>VLOOKUP($A12,card数值!$A:$AB,MATCH(J$1,card数值!$1:$1,0),FALSE)</f>
        <v>入场时触发使用，将目标变为风属性</v>
      </c>
    </row>
    <row r="13" spans="1:10">
      <c r="A13" s="1">
        <f>card数值!A13</f>
        <v>1012</v>
      </c>
      <c r="B13" s="1" t="str">
        <f>VLOOKUP($A13,card数值!$A:$AB,MATCH(B$1,card数值!$1:$1,0),FALSE)</f>
        <v>原始土属性</v>
      </c>
      <c r="C13" s="1">
        <f>VLOOKUP($A13,card数值!$A:$AB,MATCH(C$1,card数值!$1:$1,0),FALSE)</f>
        <v>0</v>
      </c>
      <c r="D13" s="1">
        <f>VLOOKUP($A13,card数值!$A:$AB,MATCH(D$1,card数值!$1:$1,0),FALSE)</f>
        <v>1</v>
      </c>
      <c r="E13" s="1">
        <f>VLOOKUP($A13,card数值!$A:$AB,MATCH(E$1,card数值!$1:$1,0),FALSE)</f>
        <v>2</v>
      </c>
      <c r="F13" s="1">
        <f>VLOOKUP($A13,card数值!$A:$AB,MATCH(F$1,card数值!$1:$1,0),FALSE)</f>
        <v>4</v>
      </c>
      <c r="G13" s="1">
        <f>VLOOKUP($A13,card数值!$A:$AB,MATCH(G$1,card数值!$1:$1,0),FALSE)</f>
        <v>0</v>
      </c>
      <c r="H13" s="1">
        <f>VLOOKUP($A13,card数值!$A:$AB,MATCH(H$1,card数值!$1:$1,0),FALSE)</f>
        <v>0</v>
      </c>
      <c r="I13" s="1">
        <f>VLOOKUP($A13,card数值!$A:$AB,MATCH(I$1,card数值!$1:$1,0),FALSE)</f>
        <v>1012</v>
      </c>
      <c r="J13" s="1" t="str">
        <f>VLOOKUP($A13,card数值!$A:$AB,MATCH(J$1,card数值!$1:$1,0),FALSE)</f>
        <v>入场时触发使用，将目标变为地属性</v>
      </c>
    </row>
  </sheetData>
  <pageMargins left="0.699305555555556" right="0.699305555555556" top="0.75" bottom="0.75" header="0.3" footer="0.3"/>
  <pageSetup paperSize="9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C3" sqref="C3"/>
    </sheetView>
  </sheetViews>
  <sheetFormatPr defaultColWidth="9" defaultRowHeight="13.5" outlineLevelRow="5" outlineLevelCol="4"/>
  <sheetData>
    <row r="1" spans="1:5">
      <c r="A1" s="1" t="s">
        <v>26</v>
      </c>
      <c r="B1" s="1" t="s">
        <v>27</v>
      </c>
      <c r="C1" s="1" t="s">
        <v>36</v>
      </c>
      <c r="D1" s="1" t="s">
        <v>33</v>
      </c>
      <c r="E1" s="1" t="s">
        <v>37</v>
      </c>
    </row>
    <row r="2" spans="1:5">
      <c r="A2" s="1">
        <v>1001</v>
      </c>
      <c r="B2" s="1" t="str">
        <f>VLOOKUP($A2,monster数值!$A:$AA,MATCH(B$1,monster数值!$1:$1,0),FALSE)</f>
        <v>普通的怪</v>
      </c>
      <c r="C2" s="1">
        <f>VLOOKUP($A2,monster数值!$A:$AA,MATCH(C$1,monster数值!$1:$1,0),FALSE)</f>
        <v>100</v>
      </c>
      <c r="D2" s="1">
        <f>VLOOKUP($A2,monster数值!$A:$AA,MATCH(D$1,monster数值!$1:$1,0),FALSE)</f>
        <v>0</v>
      </c>
      <c r="E2" s="1">
        <f>VLOOKUP($A2,monster数值!$A:$AA,MATCH(E$1,monster数值!$1:$1,0),FALSE)</f>
        <v>0</v>
      </c>
    </row>
    <row r="3" spans="1:5">
      <c r="A3" s="1">
        <v>1002</v>
      </c>
      <c r="B3" s="1" t="str">
        <f>VLOOKUP($A3,monster数值!$A:$AA,MATCH(B$1,monster数值!$1:$1,0),FALSE)</f>
        <v>火元素</v>
      </c>
      <c r="C3" s="1">
        <f>VLOOKUP($A3,monster数值!$A:$AA,MATCH(C$1,monster数值!$1:$1,0),FALSE)</f>
        <v>255</v>
      </c>
      <c r="D3" s="1">
        <f>VLOOKUP($A3,monster数值!$A:$AA,MATCH(D$1,monster数值!$1:$1,0),FALSE)</f>
        <v>0</v>
      </c>
      <c r="E3" s="1">
        <f>VLOOKUP($A3,monster数值!$A:$AA,MATCH(E$1,monster数值!$1:$1,0),FALSE)</f>
        <v>0</v>
      </c>
    </row>
    <row r="4" spans="1:5">
      <c r="A4" s="1">
        <v>1003</v>
      </c>
      <c r="B4" s="1" t="str">
        <f>VLOOKUP($A4,monster数值!$A:$AA,MATCH(B$1,monster数值!$1:$1,0),FALSE)</f>
        <v>水元素</v>
      </c>
      <c r="C4" s="1">
        <f>VLOOKUP($A4,monster数值!$A:$AA,MATCH(C$1,monster数值!$1:$1,0),FALSE)</f>
        <v>255</v>
      </c>
      <c r="D4" s="1">
        <f>VLOOKUP($A4,monster数值!$A:$AA,MATCH(D$1,monster数值!$1:$1,0),FALSE)</f>
        <v>0</v>
      </c>
      <c r="E4" s="1">
        <f>VLOOKUP($A4,monster数值!$A:$AA,MATCH(E$1,monster数值!$1:$1,0),FALSE)</f>
        <v>0</v>
      </c>
    </row>
    <row r="5" spans="1:5">
      <c r="A5" s="1">
        <v>1004</v>
      </c>
      <c r="B5" s="1" t="str">
        <f>VLOOKUP($A5,monster数值!$A:$AA,MATCH(B$1,monster数值!$1:$1,0),FALSE)</f>
        <v>风元素</v>
      </c>
      <c r="C5" s="1">
        <f>VLOOKUP($A5,monster数值!$A:$AA,MATCH(C$1,monster数值!$1:$1,0),FALSE)</f>
        <v>255</v>
      </c>
      <c r="D5" s="1">
        <f>VLOOKUP($A5,monster数值!$A:$AA,MATCH(D$1,monster数值!$1:$1,0),FALSE)</f>
        <v>0</v>
      </c>
      <c r="E5" s="1">
        <f>VLOOKUP($A5,monster数值!$A:$AA,MATCH(E$1,monster数值!$1:$1,0),FALSE)</f>
        <v>0</v>
      </c>
    </row>
    <row r="6" spans="1:5">
      <c r="A6" s="1">
        <v>1005</v>
      </c>
      <c r="B6" s="1" t="str">
        <f>VLOOKUP($A6,monster数值!$A:$AA,MATCH(B$1,monster数值!$1:$1,0),FALSE)</f>
        <v>土元素</v>
      </c>
      <c r="C6" s="1">
        <f>VLOOKUP($A6,monster数值!$A:$AA,MATCH(C$1,monster数值!$1:$1,0),FALSE)</f>
        <v>255</v>
      </c>
      <c r="D6" s="1">
        <f>VLOOKUP($A6,monster数值!$A:$AA,MATCH(D$1,monster数值!$1:$1,0),FALSE)</f>
        <v>0</v>
      </c>
      <c r="E6" s="1">
        <f>VLOOKUP($A6,monster数值!$A:$AA,MATCH(E$1,monster数值!$1:$1,0),FALSE)</f>
        <v>0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3"/>
  <sheetViews>
    <sheetView tabSelected="1" workbookViewId="0">
      <selection activeCell="M21" sqref="M21"/>
    </sheetView>
  </sheetViews>
  <sheetFormatPr defaultColWidth="9" defaultRowHeight="13.5"/>
  <cols>
    <col min="1" max="1" width="5.375" customWidth="1"/>
    <col min="2" max="2" width="10.875" customWidth="1"/>
    <col min="3" max="3" width="3.375" customWidth="1"/>
    <col min="4" max="4" width="5.375" customWidth="1"/>
    <col min="5" max="5" width="4.375" customWidth="1"/>
    <col min="6" max="6" width="8.375" customWidth="1"/>
    <col min="7" max="7" width="7.375" customWidth="1"/>
    <col min="8" max="8" width="6.375" customWidth="1"/>
    <col min="9" max="9" width="5.375" customWidth="1"/>
    <col min="10" max="10" width="33.75" customWidth="1"/>
    <col min="11" max="11" width="9.375"/>
    <col min="15" max="15" width="15.375" customWidth="1"/>
  </cols>
  <sheetData>
    <row r="1" spans="1:11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t="s">
        <v>1</v>
      </c>
    </row>
    <row r="2" spans="1:16">
      <c r="A2" s="1">
        <v>1001</v>
      </c>
      <c r="B2" s="1" t="s">
        <v>38</v>
      </c>
      <c r="C2" s="1">
        <v>1</v>
      </c>
      <c r="D2" s="1">
        <v>0</v>
      </c>
      <c r="E2" s="1">
        <v>2</v>
      </c>
      <c r="F2" s="1">
        <v>0</v>
      </c>
      <c r="G2" s="1">
        <v>-7</v>
      </c>
      <c r="H2" s="1"/>
      <c r="I2" s="1">
        <f t="shared" ref="I2:I13" si="0">A2</f>
        <v>1001</v>
      </c>
      <c r="J2" s="1" t="s">
        <v>39</v>
      </c>
      <c r="K2" s="2">
        <f>(VLOOKUP($D2,数据索引!D:E,2,FALSE)+(VLOOKUP($F2,数据索引!M:N,2,FALSE)+IF($G2&lt;=0,ABS($G2)*$P$2,ABS($G2)*$P$4)+ABS($H2)*$P$3)*VLOOKUP($E2,数据索引!I:J,2,FALSE))/VLOOKUP($C2,数据索引!A:B,2,FALSE)</f>
        <v>1000</v>
      </c>
      <c r="O2" t="s">
        <v>40</v>
      </c>
      <c r="P2">
        <v>100</v>
      </c>
    </row>
    <row r="3" spans="1:16">
      <c r="A3" s="1">
        <v>1002</v>
      </c>
      <c r="B3" s="1" t="s">
        <v>41</v>
      </c>
      <c r="C3" s="1">
        <v>1</v>
      </c>
      <c r="D3" s="1">
        <v>0</v>
      </c>
      <c r="E3" s="1">
        <v>2</v>
      </c>
      <c r="F3" s="1">
        <v>0</v>
      </c>
      <c r="G3" s="1"/>
      <c r="H3" s="1">
        <v>6</v>
      </c>
      <c r="I3" s="1">
        <f t="shared" si="0"/>
        <v>1002</v>
      </c>
      <c r="J3" s="1" t="s">
        <v>42</v>
      </c>
      <c r="K3" s="2">
        <f>(VLOOKUP($D3,数据索引!D:E,2,FALSE)+(VLOOKUP($F3,数据索引!M:N,2,FALSE)+IF($G3&lt;=0,ABS($G3)*$P$2,ABS($G3)*$P$4)+ABS($H3)*$P$3)*VLOOKUP($E3,数据索引!I:J,2,FALSE))/VLOOKUP($C3,数据索引!A:B,2,FALSE)</f>
        <v>1050</v>
      </c>
      <c r="O3" t="s">
        <v>43</v>
      </c>
      <c r="P3">
        <v>125</v>
      </c>
    </row>
    <row r="4" spans="1:16">
      <c r="A4" s="1">
        <v>1003</v>
      </c>
      <c r="B4" s="1" t="s">
        <v>44</v>
      </c>
      <c r="C4" s="1">
        <v>1</v>
      </c>
      <c r="D4" s="1">
        <v>0</v>
      </c>
      <c r="E4" s="1">
        <v>2</v>
      </c>
      <c r="F4" s="1">
        <v>0</v>
      </c>
      <c r="G4" s="1">
        <v>5</v>
      </c>
      <c r="H4" s="1"/>
      <c r="I4" s="1">
        <f t="shared" si="0"/>
        <v>1003</v>
      </c>
      <c r="J4" s="1" t="s">
        <v>45</v>
      </c>
      <c r="K4" s="2">
        <f>(VLOOKUP($D4,数据索引!D:E,2,FALSE)+(VLOOKUP($F4,数据索引!M:N,2,FALSE)+IF($G4&lt;=0,ABS($G4)*$P$2,ABS($G4)*$P$4)+ABS($H4)*$P$3)*VLOOKUP($E4,数据索引!I:J,2,FALSE))/VLOOKUP($C4,数据索引!A:B,2,FALSE)</f>
        <v>1050</v>
      </c>
      <c r="O4" t="s">
        <v>46</v>
      </c>
      <c r="P4">
        <v>150</v>
      </c>
    </row>
    <row r="5" spans="1:11">
      <c r="A5" s="1">
        <v>1004</v>
      </c>
      <c r="B5" s="1" t="s">
        <v>47</v>
      </c>
      <c r="C5" s="1">
        <v>1</v>
      </c>
      <c r="D5" s="1">
        <v>0</v>
      </c>
      <c r="E5" s="1">
        <v>1</v>
      </c>
      <c r="F5" s="1">
        <v>1</v>
      </c>
      <c r="G5" s="1">
        <v>-6</v>
      </c>
      <c r="H5" s="1"/>
      <c r="I5" s="1">
        <f t="shared" si="0"/>
        <v>1004</v>
      </c>
      <c r="J5" s="1" t="s">
        <v>48</v>
      </c>
      <c r="K5" s="2">
        <f>(VLOOKUP($D5,数据索引!D:E,2,FALSE)+(VLOOKUP($F5,数据索引!M:N,2,FALSE)+IF($G5&lt;=0,ABS($G5)*$P$2,ABS($G5)*$P$4)+ABS($H5)*$P$3)*VLOOKUP($E5,数据索引!I:J,2,FALSE))/VLOOKUP($C5,数据索引!A:B,2,FALSE)</f>
        <v>950</v>
      </c>
    </row>
    <row r="6" spans="1:11">
      <c r="A6" s="1">
        <v>1005</v>
      </c>
      <c r="B6" s="1" t="s">
        <v>49</v>
      </c>
      <c r="C6" s="1">
        <v>1</v>
      </c>
      <c r="D6" s="1">
        <v>0</v>
      </c>
      <c r="E6" s="1">
        <v>1</v>
      </c>
      <c r="F6" s="1">
        <v>2</v>
      </c>
      <c r="G6" s="1">
        <v>-6</v>
      </c>
      <c r="H6" s="1"/>
      <c r="I6" s="1">
        <f t="shared" si="0"/>
        <v>1005</v>
      </c>
      <c r="J6" s="1" t="s">
        <v>50</v>
      </c>
      <c r="K6" s="2">
        <f>(VLOOKUP($D6,数据索引!D:E,2,FALSE)+(VLOOKUP($F6,数据索引!M:N,2,FALSE)+IF($G6&lt;=0,ABS($G6)*$P$2,ABS($G6)*$P$4)+ABS($H6)*$P$3)*VLOOKUP($E6,数据索引!I:J,2,FALSE))/VLOOKUP($C6,数据索引!A:B,2,FALSE)</f>
        <v>950</v>
      </c>
    </row>
    <row r="7" spans="1:11">
      <c r="A7" s="1">
        <v>1006</v>
      </c>
      <c r="B7" s="1" t="s">
        <v>51</v>
      </c>
      <c r="C7" s="1">
        <v>1</v>
      </c>
      <c r="D7" s="1">
        <v>0</v>
      </c>
      <c r="E7" s="1">
        <v>1</v>
      </c>
      <c r="F7" s="1">
        <v>3</v>
      </c>
      <c r="G7" s="1">
        <v>-6</v>
      </c>
      <c r="H7" s="1"/>
      <c r="I7" s="1">
        <f t="shared" si="0"/>
        <v>1006</v>
      </c>
      <c r="J7" s="1" t="s">
        <v>52</v>
      </c>
      <c r="K7" s="2">
        <f>(VLOOKUP($D7,数据索引!D:E,2,FALSE)+(VLOOKUP($F7,数据索引!M:N,2,FALSE)+IF($G7&lt;=0,ABS($G7)*$P$2,ABS($G7)*$P$4)+ABS($H7)*$P$3)*VLOOKUP($E7,数据索引!I:J,2,FALSE))/VLOOKUP($C7,数据索引!A:B,2,FALSE)</f>
        <v>950</v>
      </c>
    </row>
    <row r="8" spans="1:11">
      <c r="A8" s="1">
        <v>1007</v>
      </c>
      <c r="B8" s="1" t="s">
        <v>53</v>
      </c>
      <c r="C8" s="1">
        <v>1</v>
      </c>
      <c r="D8" s="1">
        <v>0</v>
      </c>
      <c r="E8" s="1">
        <v>1</v>
      </c>
      <c r="F8" s="1">
        <v>4</v>
      </c>
      <c r="G8" s="1">
        <v>-6</v>
      </c>
      <c r="H8" s="1"/>
      <c r="I8" s="1">
        <f t="shared" si="0"/>
        <v>1007</v>
      </c>
      <c r="J8" s="1" t="s">
        <v>50</v>
      </c>
      <c r="K8" s="2">
        <f>(VLOOKUP($D8,数据索引!D:E,2,FALSE)+(VLOOKUP($F8,数据索引!M:N,2,FALSE)+IF($G8&lt;=0,ABS($G8)*$P$2,ABS($G8)*$P$4)+ABS($H8)*$P$3)*VLOOKUP($E8,数据索引!I:J,2,FALSE))/VLOOKUP($C8,数据索引!A:B,2,FALSE)</f>
        <v>950</v>
      </c>
    </row>
    <row r="9" spans="1:11">
      <c r="A9" s="1">
        <v>1008</v>
      </c>
      <c r="B9" s="1" t="s">
        <v>54</v>
      </c>
      <c r="C9" s="1">
        <v>0</v>
      </c>
      <c r="D9" s="1">
        <v>1</v>
      </c>
      <c r="E9" s="1">
        <v>2</v>
      </c>
      <c r="F9" s="1">
        <v>0</v>
      </c>
      <c r="G9" s="1"/>
      <c r="H9" s="1"/>
      <c r="I9" s="1">
        <f t="shared" si="0"/>
        <v>1008</v>
      </c>
      <c r="J9" s="1" t="s">
        <v>55</v>
      </c>
      <c r="K9" s="2">
        <f>(VLOOKUP($D9,数据索引!D:E,2,FALSE)+(VLOOKUP($F9,数据索引!M:N,2,FALSE)+IF($G9&lt;=0,ABS($G9)*$P$2,ABS($G9)*$P$4)+ABS($H9)*$P$3)*VLOOKUP($E9,数据索引!I:J,2,FALSE))/VLOOKUP($C9,数据索引!A:B,2,FALSE)</f>
        <v>800</v>
      </c>
    </row>
    <row r="10" spans="1:11">
      <c r="A10" s="1">
        <v>1009</v>
      </c>
      <c r="B10" s="1" t="s">
        <v>56</v>
      </c>
      <c r="C10" s="1">
        <v>0</v>
      </c>
      <c r="D10" s="1">
        <v>1</v>
      </c>
      <c r="E10" s="1">
        <v>2</v>
      </c>
      <c r="F10" s="1">
        <v>1</v>
      </c>
      <c r="G10" s="1"/>
      <c r="H10" s="1"/>
      <c r="I10" s="1">
        <f t="shared" si="0"/>
        <v>1009</v>
      </c>
      <c r="J10" s="1" t="s">
        <v>57</v>
      </c>
      <c r="K10" s="2">
        <f>(VLOOKUP($D10,数据索引!D:E,2,FALSE)+(VLOOKUP($F10,数据索引!M:N,2,FALSE)+IF($G10&lt;=0,ABS($G10)*$P$2,ABS($G10)*$P$4)+ABS($H10)*$P$3)*VLOOKUP($E10,数据索引!I:J,2,FALSE))/VLOOKUP($C10,数据索引!A:B,2,FALSE)</f>
        <v>900</v>
      </c>
    </row>
    <row r="11" spans="1:11">
      <c r="A11" s="1">
        <v>1010</v>
      </c>
      <c r="B11" s="1" t="s">
        <v>58</v>
      </c>
      <c r="C11" s="1">
        <v>0</v>
      </c>
      <c r="D11" s="1">
        <v>1</v>
      </c>
      <c r="E11" s="1">
        <v>2</v>
      </c>
      <c r="F11" s="1">
        <v>2</v>
      </c>
      <c r="G11" s="1"/>
      <c r="H11" s="1"/>
      <c r="I11" s="1">
        <f t="shared" si="0"/>
        <v>1010</v>
      </c>
      <c r="J11" s="1" t="s">
        <v>59</v>
      </c>
      <c r="K11" s="2">
        <f>(VLOOKUP($D11,数据索引!D:E,2,FALSE)+(VLOOKUP($F11,数据索引!M:N,2,FALSE)+IF($G11&lt;=0,ABS($G11)*$P$2,ABS($G11)*$P$4)+ABS($H11)*$P$3)*VLOOKUP($E11,数据索引!I:J,2,FALSE))/VLOOKUP($C11,数据索引!A:B,2,FALSE)</f>
        <v>900</v>
      </c>
    </row>
    <row r="12" spans="1:11">
      <c r="A12" s="1">
        <v>1011</v>
      </c>
      <c r="B12" s="1" t="s">
        <v>60</v>
      </c>
      <c r="C12" s="1">
        <v>0</v>
      </c>
      <c r="D12" s="1">
        <v>1</v>
      </c>
      <c r="E12" s="1">
        <v>2</v>
      </c>
      <c r="F12" s="1">
        <v>3</v>
      </c>
      <c r="G12" s="1"/>
      <c r="H12" s="1"/>
      <c r="I12" s="1">
        <f t="shared" si="0"/>
        <v>1011</v>
      </c>
      <c r="J12" s="1" t="s">
        <v>61</v>
      </c>
      <c r="K12" s="2">
        <f>(VLOOKUP($D12,数据索引!D:E,2,FALSE)+(VLOOKUP($F12,数据索引!M:N,2,FALSE)+IF($G12&lt;=0,ABS($G12)*$P$2,ABS($G12)*$P$4)+ABS($H12)*$P$3)*VLOOKUP($E12,数据索引!I:J,2,FALSE))/VLOOKUP($C12,数据索引!A:B,2,FALSE)</f>
        <v>900</v>
      </c>
    </row>
    <row r="13" spans="1:11">
      <c r="A13" s="1">
        <v>1012</v>
      </c>
      <c r="B13" s="1" t="s">
        <v>62</v>
      </c>
      <c r="C13" s="1">
        <v>0</v>
      </c>
      <c r="D13" s="1">
        <v>1</v>
      </c>
      <c r="E13" s="1">
        <v>2</v>
      </c>
      <c r="F13" s="1">
        <v>4</v>
      </c>
      <c r="G13" s="1"/>
      <c r="H13" s="1"/>
      <c r="I13" s="1">
        <f t="shared" si="0"/>
        <v>1012</v>
      </c>
      <c r="J13" s="1" t="s">
        <v>63</v>
      </c>
      <c r="K13" s="2">
        <f>(VLOOKUP($D13,数据索引!D:E,2,FALSE)+(VLOOKUP($F13,数据索引!M:N,2,FALSE)+IF($G13&lt;=0,ABS($G13)*$P$2,ABS($G13)*$P$4)+ABS($H13)*$P$3)*VLOOKUP($E13,数据索引!I:J,2,FALSE))/VLOOKUP($C13,数据索引!A:B,2,FALSE)</f>
        <v>900</v>
      </c>
    </row>
    <row r="20" spans="13:13">
      <c r="M20" t="s">
        <v>64</v>
      </c>
    </row>
    <row r="21" spans="13:13">
      <c r="M21" t="s">
        <v>65</v>
      </c>
    </row>
    <row r="23" spans="13:13">
      <c r="M23" t="s">
        <v>66</v>
      </c>
    </row>
  </sheetData>
  <dataValidations count="3">
    <dataValidation type="list" allowBlank="1" showInputMessage="1" showErrorMessage="1" sqref="D2 D3:D7 D8:D9 D10:D13">
      <formula1>数据索引!$D:$D</formula1>
    </dataValidation>
    <dataValidation type="list" allowBlank="1" showInputMessage="1" showErrorMessage="1" sqref="E2 E3 E4 E5:E8 E9:E13">
      <formula1>数据索引!$I:$I</formula1>
    </dataValidation>
    <dataValidation type="list" allowBlank="1" showInputMessage="1" showErrorMessage="1" sqref="F2:F3 F5:F8 F9:F13">
      <formula1>数据索引!$M:$M</formula1>
    </dataValidation>
  </dataValidations>
  <pageMargins left="0.699305555555556" right="0.699305555555556" top="0.75" bottom="0.75" header="0.3" footer="0.3"/>
  <pageSetup paperSize="9" orientation="portrait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C3" sqref="C3"/>
    </sheetView>
  </sheetViews>
  <sheetFormatPr defaultColWidth="9" defaultRowHeight="13.5" outlineLevelRow="5" outlineLevelCol="4"/>
  <sheetData>
    <row r="1" spans="1:5">
      <c r="A1" s="1" t="s">
        <v>26</v>
      </c>
      <c r="B1" s="1" t="s">
        <v>27</v>
      </c>
      <c r="C1" s="1" t="s">
        <v>36</v>
      </c>
      <c r="D1" s="1" t="s">
        <v>33</v>
      </c>
      <c r="E1" s="1" t="s">
        <v>37</v>
      </c>
    </row>
    <row r="2" spans="1:5">
      <c r="A2" s="1">
        <v>1001</v>
      </c>
      <c r="B2" s="1" t="s">
        <v>67</v>
      </c>
      <c r="C2" s="1">
        <v>100</v>
      </c>
      <c r="D2" s="1">
        <v>0</v>
      </c>
      <c r="E2" s="1"/>
    </row>
    <row r="3" spans="1:5">
      <c r="A3" s="1">
        <v>1002</v>
      </c>
      <c r="B3" s="1" t="s">
        <v>68</v>
      </c>
      <c r="C3" s="1">
        <v>255</v>
      </c>
      <c r="D3" s="1"/>
      <c r="E3" s="1"/>
    </row>
    <row r="4" spans="1:5">
      <c r="A4" s="1">
        <v>1003</v>
      </c>
      <c r="B4" s="1" t="s">
        <v>69</v>
      </c>
      <c r="C4" s="1">
        <v>255</v>
      </c>
      <c r="D4" s="1"/>
      <c r="E4" s="1"/>
    </row>
    <row r="5" spans="1:5">
      <c r="A5" s="1">
        <v>1004</v>
      </c>
      <c r="B5" s="1" t="s">
        <v>70</v>
      </c>
      <c r="C5" s="1">
        <v>255</v>
      </c>
      <c r="D5" s="1"/>
      <c r="E5" s="1"/>
    </row>
    <row r="6" spans="1:5">
      <c r="A6" s="1">
        <v>1005</v>
      </c>
      <c r="B6" s="1" t="s">
        <v>71</v>
      </c>
      <c r="C6" s="1">
        <v>255</v>
      </c>
      <c r="D6" s="1"/>
      <c r="E6" s="1"/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数据索引</vt:lpstr>
      <vt:lpstr>card</vt:lpstr>
      <vt:lpstr>monster</vt:lpstr>
      <vt:lpstr>card数值</vt:lpstr>
      <vt:lpstr>monster数值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SeASon</dc:creator>
  <cp:lastModifiedBy>老比样</cp:lastModifiedBy>
  <dcterms:created xsi:type="dcterms:W3CDTF">2018-07-01T17:50:00Z</dcterms:created>
  <dcterms:modified xsi:type="dcterms:W3CDTF">2018-07-04T07:35:16Z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2052-10.1.0.7400</vt:lpwstr>
  </property>
</Properties>
</file>