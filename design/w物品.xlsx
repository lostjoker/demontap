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635" tabRatio="869"/>
  </bookViews>
  <sheets>
    <sheet name="Item" sheetId="1" r:id="rId1"/>
  </sheets>
  <calcPr calcId="144525"/>
</workbook>
</file>

<file path=xl/comments1.xml><?xml version="1.0" encoding="utf-8"?>
<comments xmlns="http://schemas.openxmlformats.org/spreadsheetml/2006/main">
  <authors>
    <author>SeASon</author>
  </authors>
  <commentList>
    <comment ref="D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对应图片资源id</t>
        </r>
      </text>
    </comment>
    <comment ref="G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突变经验</t>
        </r>
      </text>
    </comment>
    <comment ref="H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该物品在背包内的单堆叠加上限</t>
        </r>
      </text>
    </comment>
    <comment ref="I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商店1（初级商店）刷新权重，不另做商店名对应表了</t>
        </r>
      </text>
    </comment>
  </commentList>
</comments>
</file>

<file path=xl/sharedStrings.xml><?xml version="1.0" encoding="utf-8"?>
<sst xmlns="http://schemas.openxmlformats.org/spreadsheetml/2006/main" count="50">
  <si>
    <t>id</t>
  </si>
  <si>
    <t>name</t>
  </si>
  <si>
    <t>rank</t>
  </si>
  <si>
    <t>res</t>
  </si>
  <si>
    <t>gold_cost</t>
  </si>
  <si>
    <t>gem_cost</t>
  </si>
  <si>
    <t>add_exp</t>
  </si>
  <si>
    <t>troop</t>
  </si>
  <si>
    <t>shop1_refresh</t>
  </si>
  <si>
    <t>shop1_min</t>
  </si>
  <si>
    <t>shop1_max</t>
  </si>
  <si>
    <t>shop2_refresh</t>
  </si>
  <si>
    <t>shop2_min</t>
  </si>
  <si>
    <t>shop2_max</t>
  </si>
  <si>
    <t>shop3_refresh</t>
  </si>
  <si>
    <t>shop3_min</t>
  </si>
  <si>
    <t>shop3_max</t>
  </si>
  <si>
    <t>shop4_refresh</t>
  </si>
  <si>
    <t>shop4_min</t>
  </si>
  <si>
    <t>shop4_max</t>
  </si>
  <si>
    <t>desc</t>
  </si>
  <si>
    <t>物品模型</t>
  </si>
  <si>
    <t>无</t>
  </si>
  <si>
    <t>测试物品1</t>
  </si>
  <si>
    <t>测试物品2</t>
  </si>
  <si>
    <t>测试物品3</t>
  </si>
  <si>
    <t>测试物品4</t>
  </si>
  <si>
    <t>测试物品5</t>
  </si>
  <si>
    <t>测试物品6</t>
  </si>
  <si>
    <t>剑</t>
  </si>
  <si>
    <t>听说你贩剑？</t>
  </si>
  <si>
    <t>杖</t>
  </si>
  <si>
    <t>不，我制杖！</t>
  </si>
  <si>
    <t>血瓶I</t>
  </si>
  <si>
    <t>药不能停</t>
  </si>
  <si>
    <t>法力药水I</t>
  </si>
  <si>
    <t>喝红喝蓝</t>
  </si>
  <si>
    <t>盾</t>
  </si>
  <si>
    <t>血瓶II</t>
  </si>
  <si>
    <t>法力药水II</t>
  </si>
  <si>
    <t>血瓶III</t>
  </si>
  <si>
    <t>法力药水III</t>
  </si>
  <si>
    <t>血瓶IV</t>
  </si>
  <si>
    <t>法力药水IV</t>
  </si>
  <si>
    <t>血瓶V</t>
  </si>
  <si>
    <t>法力药水V</t>
  </si>
  <si>
    <t>剑II</t>
  </si>
  <si>
    <t>杖II</t>
  </si>
  <si>
    <t>剑III</t>
  </si>
  <si>
    <t>杖III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</si>
</sst>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_(* #,##0.00_);_(* \(#,##0.00\);_(* &quot;-&quot;??_);_(@_)"/>
  </numFmts>
  <fonts count="25">
    <font>
      <sz val="11"/>
      <color indexed="8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b/>
      <sz val="11"/>
      <color theme="2"/>
      <name val="宋体"/>
      <charset val="134"/>
    </font>
    <font>
      <sz val="10.5"/>
      <color indexed="8"/>
      <name val="宋体"/>
      <charset val="134"/>
    </font>
    <font>
      <i/>
      <sz val="11"/>
      <color indexed="23"/>
      <name val="宋体"/>
      <charset val="134"/>
    </font>
    <font>
      <b/>
      <sz val="11"/>
      <color indexed="1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b/>
      <sz val="11"/>
      <color indexed="63"/>
      <name val="宋体"/>
      <charset val="134"/>
    </font>
    <font>
      <b/>
      <sz val="15"/>
      <color indexed="1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b/>
      <sz val="13"/>
      <color indexed="18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8"/>
      <color indexed="18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4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</borders>
  <cellStyleXfs count="56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/>
    <xf numFmtId="0" fontId="14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3" borderId="1" xfId="53" applyFont="1" applyFill="1" applyBorder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百分比 2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百分比 3" xfId="52"/>
    <cellStyle name="常规 2" xfId="53"/>
    <cellStyle name="常规 3" xfId="54"/>
    <cellStyle name="常规 4" xfId="55"/>
  </cellStyles>
  <dxfs count="13">
    <dxf>
      <font>
        <color theme="5"/>
      </font>
      <fill>
        <patternFill patternType="solid">
          <bgColor theme="5" tint="0.799981688894314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DEF1DE"/>
      </a:lt1>
      <a:dk2>
        <a:srgbClr val="00007F"/>
      </a:dk2>
      <a:lt2>
        <a:srgbClr val="FFFFFF"/>
      </a:lt2>
      <a:accent1>
        <a:srgbClr val="0000FF"/>
      </a:accent1>
      <a:accent2>
        <a:srgbClr val="FF0000"/>
      </a:accent2>
      <a:accent3>
        <a:srgbClr val="00FF00"/>
      </a:accent3>
      <a:accent4>
        <a:srgbClr val="7030A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U25"/>
  <sheetViews>
    <sheetView tabSelected="1" zoomScale="145" zoomScaleNormal="145" workbookViewId="0">
      <pane xSplit="3" ySplit="1" topLeftCell="G2" activePane="bottomRight" state="frozen"/>
      <selection/>
      <selection pane="topRight"/>
      <selection pane="bottomLeft"/>
      <selection pane="bottomRight" activeCell="K5" sqref="K5"/>
    </sheetView>
  </sheetViews>
  <sheetFormatPr defaultColWidth="9" defaultRowHeight="13.5"/>
  <cols>
    <col min="1" max="1" width="5.375" style="1" customWidth="1"/>
    <col min="2" max="2" width="12.125" style="2" customWidth="1"/>
    <col min="3" max="3" width="2.875" style="3" customWidth="1"/>
    <col min="4" max="4" width="4" style="4" customWidth="1"/>
    <col min="5" max="5" width="8.625" style="5" customWidth="1"/>
    <col min="6" max="6" width="5.125" style="5" customWidth="1"/>
    <col min="7" max="7" width="7.375" style="5" customWidth="1"/>
    <col min="8" max="8" width="4.375" style="5" customWidth="1"/>
    <col min="9" max="9" width="8.5" style="5" customWidth="1"/>
    <col min="10" max="11" width="6.25" style="5" customWidth="1"/>
    <col min="12" max="12" width="8.5" style="5" customWidth="1"/>
    <col min="13" max="14" width="6.25" style="5" customWidth="1"/>
    <col min="15" max="15" width="8.5" style="5" customWidth="1"/>
    <col min="16" max="17" width="6.25" style="5" customWidth="1"/>
    <col min="18" max="18" width="8.5" style="5" customWidth="1"/>
    <col min="19" max="20" width="6.25" style="5" customWidth="1"/>
    <col min="21" max="21" width="40.375" style="6" customWidth="1"/>
    <col min="22" max="22" width="9" style="7"/>
    <col min="23" max="23" width="9" style="7" customWidth="1"/>
    <col min="24" max="24" width="11" customWidth="1"/>
    <col min="25" max="16384" width="9" style="7"/>
  </cols>
  <sheetData>
    <row r="1" ht="27" spans="1:21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9" t="s">
        <v>20</v>
      </c>
    </row>
    <row r="2" spans="1:21">
      <c r="A2" s="11">
        <v>0</v>
      </c>
      <c r="B2" s="12" t="s">
        <v>21</v>
      </c>
      <c r="C2" s="12">
        <v>0</v>
      </c>
      <c r="D2" s="13">
        <v>1</v>
      </c>
      <c r="E2" s="14">
        <v>0</v>
      </c>
      <c r="F2" s="14">
        <v>0</v>
      </c>
      <c r="G2" s="14">
        <f>$E2/5</f>
        <v>0</v>
      </c>
      <c r="H2" s="14">
        <v>0</v>
      </c>
      <c r="I2" s="14">
        <f t="shared" ref="I2:I9" si="0">IF($C2=0,10000,IF($C2=1,5000,0))</f>
        <v>10000</v>
      </c>
      <c r="J2" s="14">
        <v>0</v>
      </c>
      <c r="K2" s="14">
        <v>0</v>
      </c>
      <c r="L2" s="14">
        <f>IF($C2=1,10000,IF($C2=2,5000,0))</f>
        <v>0</v>
      </c>
      <c r="M2" s="14">
        <v>0</v>
      </c>
      <c r="N2" s="14">
        <v>0</v>
      </c>
      <c r="O2" s="14">
        <f>IF($C2=2,10000,IF($C2=3,5000,0))</f>
        <v>0</v>
      </c>
      <c r="P2" s="14">
        <v>0</v>
      </c>
      <c r="Q2" s="14">
        <v>0</v>
      </c>
      <c r="R2" s="14">
        <f>IF($C2=3,10000,IF($C2=4,5000,0))</f>
        <v>0</v>
      </c>
      <c r="S2" s="14">
        <v>0</v>
      </c>
      <c r="T2" s="14">
        <v>0</v>
      </c>
      <c r="U2" s="15" t="s">
        <v>22</v>
      </c>
    </row>
    <row r="3" spans="1:21">
      <c r="A3" s="11">
        <v>1</v>
      </c>
      <c r="B3" s="12" t="s">
        <v>23</v>
      </c>
      <c r="C3" s="12">
        <v>0</v>
      </c>
      <c r="D3" s="13">
        <v>1</v>
      </c>
      <c r="E3" s="14">
        <v>0</v>
      </c>
      <c r="F3" s="14">
        <v>0</v>
      </c>
      <c r="G3" s="14">
        <f t="shared" ref="G3:G13" si="1">$E3/5</f>
        <v>0</v>
      </c>
      <c r="H3" s="14">
        <v>0</v>
      </c>
      <c r="I3" s="14">
        <f t="shared" si="0"/>
        <v>10000</v>
      </c>
      <c r="J3" s="14">
        <v>0</v>
      </c>
      <c r="K3" s="14">
        <v>0</v>
      </c>
      <c r="L3" s="14">
        <f t="shared" ref="L3:L25" si="2">IF($C3=1,10000,IF($C3=2,5000,0))</f>
        <v>0</v>
      </c>
      <c r="M3" s="14">
        <v>0</v>
      </c>
      <c r="N3" s="14">
        <v>0</v>
      </c>
      <c r="O3" s="14">
        <f t="shared" ref="O3:O25" si="3">IF($C3=2,10000,IF($C3=3,5000,0))</f>
        <v>0</v>
      </c>
      <c r="P3" s="14">
        <v>0</v>
      </c>
      <c r="Q3" s="14">
        <v>0</v>
      </c>
      <c r="R3" s="14">
        <f t="shared" ref="R3:R25" si="4">IF($C3=3,10000,IF($C3=4,5000,0))</f>
        <v>0</v>
      </c>
      <c r="S3" s="14">
        <v>0</v>
      </c>
      <c r="T3" s="14">
        <v>0</v>
      </c>
      <c r="U3" s="15" t="s">
        <v>22</v>
      </c>
    </row>
    <row r="4" spans="1:21">
      <c r="A4" s="11">
        <v>2</v>
      </c>
      <c r="B4" s="12" t="s">
        <v>24</v>
      </c>
      <c r="C4" s="12">
        <v>1</v>
      </c>
      <c r="D4" s="13">
        <v>1</v>
      </c>
      <c r="E4" s="14">
        <v>100</v>
      </c>
      <c r="F4" s="14">
        <v>0</v>
      </c>
      <c r="G4" s="14">
        <f t="shared" si="1"/>
        <v>20</v>
      </c>
      <c r="H4" s="14">
        <v>0</v>
      </c>
      <c r="I4" s="14">
        <f t="shared" si="0"/>
        <v>5000</v>
      </c>
      <c r="J4" s="14">
        <v>0</v>
      </c>
      <c r="K4" s="14">
        <v>0</v>
      </c>
      <c r="L4" s="14">
        <f t="shared" si="2"/>
        <v>10000</v>
      </c>
      <c r="M4" s="14">
        <v>0</v>
      </c>
      <c r="N4" s="14">
        <v>0</v>
      </c>
      <c r="O4" s="14">
        <f t="shared" si="3"/>
        <v>0</v>
      </c>
      <c r="P4" s="14">
        <v>0</v>
      </c>
      <c r="Q4" s="14">
        <v>0</v>
      </c>
      <c r="R4" s="14">
        <f t="shared" si="4"/>
        <v>0</v>
      </c>
      <c r="S4" s="14">
        <v>0</v>
      </c>
      <c r="T4" s="14">
        <v>0</v>
      </c>
      <c r="U4" s="15" t="s">
        <v>22</v>
      </c>
    </row>
    <row r="5" spans="1:21">
      <c r="A5" s="11">
        <v>3</v>
      </c>
      <c r="B5" s="12" t="s">
        <v>25</v>
      </c>
      <c r="C5" s="12">
        <v>2</v>
      </c>
      <c r="D5" s="13">
        <v>1</v>
      </c>
      <c r="E5" s="14">
        <v>1000</v>
      </c>
      <c r="F5" s="14">
        <v>0</v>
      </c>
      <c r="G5" s="14">
        <f t="shared" si="1"/>
        <v>200</v>
      </c>
      <c r="H5" s="14">
        <v>0</v>
      </c>
      <c r="I5" s="14">
        <f t="shared" si="0"/>
        <v>0</v>
      </c>
      <c r="J5" s="14">
        <v>0</v>
      </c>
      <c r="K5" s="14">
        <v>0</v>
      </c>
      <c r="L5" s="14">
        <f t="shared" si="2"/>
        <v>5000</v>
      </c>
      <c r="M5" s="14">
        <v>0</v>
      </c>
      <c r="N5" s="14">
        <v>0</v>
      </c>
      <c r="O5" s="14">
        <f t="shared" si="3"/>
        <v>10000</v>
      </c>
      <c r="P5" s="14">
        <v>0</v>
      </c>
      <c r="Q5" s="14">
        <v>0</v>
      </c>
      <c r="R5" s="14">
        <f t="shared" si="4"/>
        <v>0</v>
      </c>
      <c r="S5" s="14">
        <v>0</v>
      </c>
      <c r="T5" s="14">
        <v>0</v>
      </c>
      <c r="U5" s="15" t="s">
        <v>22</v>
      </c>
    </row>
    <row r="6" spans="1:21">
      <c r="A6" s="11">
        <v>4</v>
      </c>
      <c r="B6" s="12" t="s">
        <v>26</v>
      </c>
      <c r="C6" s="12">
        <v>3</v>
      </c>
      <c r="D6" s="13">
        <v>1</v>
      </c>
      <c r="E6" s="14">
        <v>10000</v>
      </c>
      <c r="F6" s="14">
        <v>0</v>
      </c>
      <c r="G6" s="14">
        <f t="shared" si="1"/>
        <v>2000</v>
      </c>
      <c r="H6" s="14">
        <v>0</v>
      </c>
      <c r="I6" s="14">
        <f t="shared" si="0"/>
        <v>0</v>
      </c>
      <c r="J6" s="14">
        <v>0</v>
      </c>
      <c r="K6" s="14">
        <v>0</v>
      </c>
      <c r="L6" s="14">
        <f t="shared" si="2"/>
        <v>0</v>
      </c>
      <c r="M6" s="14">
        <v>0</v>
      </c>
      <c r="N6" s="14">
        <v>0</v>
      </c>
      <c r="O6" s="14">
        <f t="shared" si="3"/>
        <v>5000</v>
      </c>
      <c r="P6" s="14">
        <v>0</v>
      </c>
      <c r="Q6" s="14">
        <v>0</v>
      </c>
      <c r="R6" s="14">
        <f t="shared" si="4"/>
        <v>10000</v>
      </c>
      <c r="S6" s="14">
        <v>0</v>
      </c>
      <c r="T6" s="14">
        <v>0</v>
      </c>
      <c r="U6" s="15" t="s">
        <v>22</v>
      </c>
    </row>
    <row r="7" spans="1:21">
      <c r="A7" s="11">
        <v>5</v>
      </c>
      <c r="B7" s="12" t="s">
        <v>27</v>
      </c>
      <c r="C7" s="12">
        <v>4</v>
      </c>
      <c r="D7" s="13">
        <v>1</v>
      </c>
      <c r="E7" s="14">
        <v>100000</v>
      </c>
      <c r="F7" s="14">
        <v>0</v>
      </c>
      <c r="G7" s="14">
        <f t="shared" si="1"/>
        <v>20000</v>
      </c>
      <c r="H7" s="14">
        <v>0</v>
      </c>
      <c r="I7" s="14">
        <f t="shared" si="0"/>
        <v>0</v>
      </c>
      <c r="J7" s="14">
        <v>0</v>
      </c>
      <c r="K7" s="14">
        <v>0</v>
      </c>
      <c r="L7" s="14">
        <f t="shared" si="2"/>
        <v>0</v>
      </c>
      <c r="M7" s="14">
        <v>0</v>
      </c>
      <c r="N7" s="14">
        <v>0</v>
      </c>
      <c r="O7" s="14">
        <f t="shared" si="3"/>
        <v>0</v>
      </c>
      <c r="P7" s="14">
        <v>0</v>
      </c>
      <c r="Q7" s="14">
        <v>0</v>
      </c>
      <c r="R7" s="14">
        <f t="shared" si="4"/>
        <v>5000</v>
      </c>
      <c r="S7" s="14">
        <v>0</v>
      </c>
      <c r="T7" s="14">
        <v>0</v>
      </c>
      <c r="U7" s="15" t="s">
        <v>22</v>
      </c>
    </row>
    <row r="8" spans="1:21">
      <c r="A8" s="11">
        <v>6</v>
      </c>
      <c r="B8" s="12" t="s">
        <v>28</v>
      </c>
      <c r="C8" s="12">
        <v>5</v>
      </c>
      <c r="D8" s="13">
        <v>1</v>
      </c>
      <c r="E8" s="14">
        <v>1000000</v>
      </c>
      <c r="F8" s="14">
        <v>0</v>
      </c>
      <c r="G8" s="14">
        <f t="shared" si="1"/>
        <v>200000</v>
      </c>
      <c r="H8" s="14">
        <v>0</v>
      </c>
      <c r="I8" s="14">
        <f t="shared" si="0"/>
        <v>0</v>
      </c>
      <c r="J8" s="14">
        <v>0</v>
      </c>
      <c r="K8" s="14">
        <v>0</v>
      </c>
      <c r="L8" s="14">
        <f t="shared" si="2"/>
        <v>0</v>
      </c>
      <c r="M8" s="14">
        <v>0</v>
      </c>
      <c r="N8" s="14">
        <v>0</v>
      </c>
      <c r="O8" s="14">
        <f t="shared" si="3"/>
        <v>0</v>
      </c>
      <c r="P8" s="14">
        <v>0</v>
      </c>
      <c r="Q8" s="14">
        <v>0</v>
      </c>
      <c r="R8" s="14">
        <f t="shared" si="4"/>
        <v>0</v>
      </c>
      <c r="S8" s="14">
        <v>0</v>
      </c>
      <c r="T8" s="14">
        <v>0</v>
      </c>
      <c r="U8" s="15" t="s">
        <v>22</v>
      </c>
    </row>
    <row r="9" spans="1:21">
      <c r="A9" s="11">
        <v>1000</v>
      </c>
      <c r="B9" s="12" t="s">
        <v>29</v>
      </c>
      <c r="C9" s="12">
        <v>0</v>
      </c>
      <c r="D9" s="13">
        <v>1</v>
      </c>
      <c r="E9" s="14">
        <v>1000</v>
      </c>
      <c r="F9" s="14">
        <v>0</v>
      </c>
      <c r="G9" s="14">
        <f t="shared" si="1"/>
        <v>200</v>
      </c>
      <c r="H9" s="14">
        <v>1</v>
      </c>
      <c r="I9" s="14">
        <f t="shared" si="0"/>
        <v>10000</v>
      </c>
      <c r="J9" s="14">
        <v>1</v>
      </c>
      <c r="K9" s="14">
        <v>1</v>
      </c>
      <c r="L9" s="14">
        <f t="shared" si="2"/>
        <v>0</v>
      </c>
      <c r="M9" s="14">
        <v>1</v>
      </c>
      <c r="N9" s="14">
        <v>1</v>
      </c>
      <c r="O9" s="14">
        <f t="shared" si="3"/>
        <v>0</v>
      </c>
      <c r="P9" s="14">
        <v>1</v>
      </c>
      <c r="Q9" s="14">
        <v>1</v>
      </c>
      <c r="R9" s="14">
        <f t="shared" si="4"/>
        <v>0</v>
      </c>
      <c r="S9" s="14">
        <v>1</v>
      </c>
      <c r="T9" s="14">
        <v>1</v>
      </c>
      <c r="U9" s="15" t="s">
        <v>30</v>
      </c>
    </row>
    <row r="10" spans="1:21">
      <c r="A10" s="11">
        <v>1001</v>
      </c>
      <c r="B10" s="12" t="s">
        <v>31</v>
      </c>
      <c r="C10" s="12">
        <v>1</v>
      </c>
      <c r="D10" s="13">
        <v>2</v>
      </c>
      <c r="E10" s="14">
        <v>1000</v>
      </c>
      <c r="F10" s="14">
        <v>0</v>
      </c>
      <c r="G10" s="14">
        <f t="shared" si="1"/>
        <v>200</v>
      </c>
      <c r="H10" s="14">
        <v>1</v>
      </c>
      <c r="I10" s="14">
        <f t="shared" ref="I10:I25" si="5">IF($C10=0,10000,IF($C10=1,5000,0))</f>
        <v>5000</v>
      </c>
      <c r="J10" s="14">
        <v>1</v>
      </c>
      <c r="K10" s="14">
        <v>1</v>
      </c>
      <c r="L10" s="14">
        <f t="shared" si="2"/>
        <v>10000</v>
      </c>
      <c r="M10" s="14">
        <v>1</v>
      </c>
      <c r="N10" s="14">
        <v>1</v>
      </c>
      <c r="O10" s="14">
        <f t="shared" si="3"/>
        <v>0</v>
      </c>
      <c r="P10" s="14">
        <v>1</v>
      </c>
      <c r="Q10" s="14">
        <v>1</v>
      </c>
      <c r="R10" s="14">
        <f t="shared" si="4"/>
        <v>0</v>
      </c>
      <c r="S10" s="14">
        <v>1</v>
      </c>
      <c r="T10" s="14">
        <v>1</v>
      </c>
      <c r="U10" s="15" t="s">
        <v>32</v>
      </c>
    </row>
    <row r="11" spans="1:21">
      <c r="A11" s="11">
        <v>1002</v>
      </c>
      <c r="B11" s="12" t="s">
        <v>33</v>
      </c>
      <c r="C11" s="12">
        <v>1</v>
      </c>
      <c r="D11" s="13">
        <v>3</v>
      </c>
      <c r="E11" s="14">
        <v>500</v>
      </c>
      <c r="F11" s="14">
        <v>0</v>
      </c>
      <c r="G11" s="14">
        <f t="shared" si="1"/>
        <v>100</v>
      </c>
      <c r="H11" s="14">
        <v>999</v>
      </c>
      <c r="I11" s="14">
        <f t="shared" si="5"/>
        <v>5000</v>
      </c>
      <c r="J11" s="14">
        <v>2</v>
      </c>
      <c r="K11" s="14">
        <v>4</v>
      </c>
      <c r="L11" s="14">
        <f t="shared" si="2"/>
        <v>10000</v>
      </c>
      <c r="M11" s="14">
        <v>2</v>
      </c>
      <c r="N11" s="14">
        <v>4</v>
      </c>
      <c r="O11" s="14">
        <f t="shared" si="3"/>
        <v>0</v>
      </c>
      <c r="P11" s="14">
        <v>2</v>
      </c>
      <c r="Q11" s="14">
        <v>4</v>
      </c>
      <c r="R11" s="14">
        <f t="shared" si="4"/>
        <v>0</v>
      </c>
      <c r="S11" s="14">
        <v>2</v>
      </c>
      <c r="T11" s="14">
        <v>4</v>
      </c>
      <c r="U11" s="15" t="s">
        <v>34</v>
      </c>
    </row>
    <row r="12" spans="1:21">
      <c r="A12" s="11">
        <v>1003</v>
      </c>
      <c r="B12" s="12" t="s">
        <v>35</v>
      </c>
      <c r="C12" s="12">
        <v>1</v>
      </c>
      <c r="D12" s="13">
        <v>4</v>
      </c>
      <c r="E12" s="14">
        <v>2000</v>
      </c>
      <c r="F12" s="14">
        <v>0</v>
      </c>
      <c r="G12" s="14">
        <f t="shared" si="1"/>
        <v>400</v>
      </c>
      <c r="H12" s="14">
        <v>999</v>
      </c>
      <c r="I12" s="14">
        <f t="shared" si="5"/>
        <v>5000</v>
      </c>
      <c r="J12" s="14">
        <v>2</v>
      </c>
      <c r="K12" s="14">
        <v>4</v>
      </c>
      <c r="L12" s="14">
        <f t="shared" si="2"/>
        <v>10000</v>
      </c>
      <c r="M12" s="14">
        <v>2</v>
      </c>
      <c r="N12" s="14">
        <v>4</v>
      </c>
      <c r="O12" s="14">
        <f t="shared" si="3"/>
        <v>0</v>
      </c>
      <c r="P12" s="14">
        <v>2</v>
      </c>
      <c r="Q12" s="14">
        <v>4</v>
      </c>
      <c r="R12" s="14">
        <f t="shared" si="4"/>
        <v>0</v>
      </c>
      <c r="S12" s="14">
        <v>2</v>
      </c>
      <c r="T12" s="14">
        <v>4</v>
      </c>
      <c r="U12" s="15" t="s">
        <v>36</v>
      </c>
    </row>
    <row r="13" spans="1:21">
      <c r="A13" s="11">
        <v>1004</v>
      </c>
      <c r="B13" s="12" t="s">
        <v>37</v>
      </c>
      <c r="C13" s="12">
        <v>2</v>
      </c>
      <c r="D13" s="13">
        <v>5</v>
      </c>
      <c r="E13" s="14">
        <v>2500</v>
      </c>
      <c r="F13" s="14">
        <v>0</v>
      </c>
      <c r="G13" s="14">
        <f t="shared" si="1"/>
        <v>500</v>
      </c>
      <c r="H13" s="14">
        <v>1</v>
      </c>
      <c r="I13" s="14">
        <f t="shared" si="5"/>
        <v>0</v>
      </c>
      <c r="J13" s="14">
        <v>1</v>
      </c>
      <c r="K13" s="14">
        <v>1</v>
      </c>
      <c r="L13" s="14">
        <f t="shared" si="2"/>
        <v>5000</v>
      </c>
      <c r="M13" s="14">
        <v>1</v>
      </c>
      <c r="N13" s="14">
        <v>1</v>
      </c>
      <c r="O13" s="14">
        <f t="shared" si="3"/>
        <v>10000</v>
      </c>
      <c r="P13" s="14">
        <v>1</v>
      </c>
      <c r="Q13" s="14">
        <v>1</v>
      </c>
      <c r="R13" s="14">
        <f t="shared" si="4"/>
        <v>0</v>
      </c>
      <c r="S13" s="14">
        <v>1</v>
      </c>
      <c r="T13" s="14">
        <v>1</v>
      </c>
      <c r="U13" s="15" t="s">
        <v>22</v>
      </c>
    </row>
    <row r="14" spans="1:21">
      <c r="A14" s="11">
        <v>1005</v>
      </c>
      <c r="B14" s="12" t="s">
        <v>38</v>
      </c>
      <c r="C14" s="12">
        <v>2</v>
      </c>
      <c r="D14" s="13">
        <v>6</v>
      </c>
      <c r="E14" s="14">
        <v>2600</v>
      </c>
      <c r="F14" s="14">
        <v>0</v>
      </c>
      <c r="G14" s="14">
        <f t="shared" ref="G14:G25" si="6">$E14/5</f>
        <v>520</v>
      </c>
      <c r="H14" s="14">
        <v>999</v>
      </c>
      <c r="I14" s="14">
        <f t="shared" si="5"/>
        <v>0</v>
      </c>
      <c r="J14" s="14">
        <v>2</v>
      </c>
      <c r="K14" s="14">
        <v>4</v>
      </c>
      <c r="L14" s="14">
        <f t="shared" si="2"/>
        <v>5000</v>
      </c>
      <c r="M14" s="14">
        <v>2</v>
      </c>
      <c r="N14" s="14">
        <v>4</v>
      </c>
      <c r="O14" s="14">
        <f t="shared" si="3"/>
        <v>10000</v>
      </c>
      <c r="P14" s="14">
        <v>2</v>
      </c>
      <c r="Q14" s="14">
        <v>4</v>
      </c>
      <c r="R14" s="14">
        <f t="shared" si="4"/>
        <v>0</v>
      </c>
      <c r="S14" s="14">
        <v>2</v>
      </c>
      <c r="T14" s="14">
        <v>4</v>
      </c>
      <c r="U14" s="15" t="s">
        <v>22</v>
      </c>
    </row>
    <row r="15" spans="1:21">
      <c r="A15" s="11">
        <v>1006</v>
      </c>
      <c r="B15" s="12" t="s">
        <v>39</v>
      </c>
      <c r="C15" s="12">
        <v>2</v>
      </c>
      <c r="D15" s="13">
        <v>7</v>
      </c>
      <c r="E15" s="14">
        <v>3000</v>
      </c>
      <c r="F15" s="14">
        <v>0</v>
      </c>
      <c r="G15" s="14">
        <f t="shared" si="6"/>
        <v>600</v>
      </c>
      <c r="H15" s="14">
        <v>999</v>
      </c>
      <c r="I15" s="14">
        <f t="shared" si="5"/>
        <v>0</v>
      </c>
      <c r="J15" s="14">
        <v>2</v>
      </c>
      <c r="K15" s="14">
        <v>4</v>
      </c>
      <c r="L15" s="14">
        <f t="shared" si="2"/>
        <v>5000</v>
      </c>
      <c r="M15" s="14">
        <v>2</v>
      </c>
      <c r="N15" s="14">
        <v>4</v>
      </c>
      <c r="O15" s="14">
        <f t="shared" si="3"/>
        <v>10000</v>
      </c>
      <c r="P15" s="14">
        <v>2</v>
      </c>
      <c r="Q15" s="14">
        <v>4</v>
      </c>
      <c r="R15" s="14">
        <f t="shared" si="4"/>
        <v>0</v>
      </c>
      <c r="S15" s="14">
        <v>2</v>
      </c>
      <c r="T15" s="14">
        <v>4</v>
      </c>
      <c r="U15" s="15" t="s">
        <v>22</v>
      </c>
    </row>
    <row r="16" spans="1:21">
      <c r="A16" s="11">
        <v>1007</v>
      </c>
      <c r="B16" s="12" t="s">
        <v>40</v>
      </c>
      <c r="C16" s="12">
        <v>3</v>
      </c>
      <c r="D16" s="13">
        <v>8</v>
      </c>
      <c r="E16" s="14">
        <v>3400</v>
      </c>
      <c r="F16" s="14">
        <v>0</v>
      </c>
      <c r="G16" s="14">
        <f t="shared" si="6"/>
        <v>680</v>
      </c>
      <c r="H16" s="14">
        <v>999</v>
      </c>
      <c r="I16" s="14">
        <f t="shared" si="5"/>
        <v>0</v>
      </c>
      <c r="J16" s="14">
        <v>2</v>
      </c>
      <c r="K16" s="14">
        <v>4</v>
      </c>
      <c r="L16" s="14">
        <f t="shared" si="2"/>
        <v>0</v>
      </c>
      <c r="M16" s="14">
        <v>2</v>
      </c>
      <c r="N16" s="14">
        <v>4</v>
      </c>
      <c r="O16" s="14">
        <f t="shared" si="3"/>
        <v>5000</v>
      </c>
      <c r="P16" s="14">
        <v>2</v>
      </c>
      <c r="Q16" s="14">
        <v>4</v>
      </c>
      <c r="R16" s="14">
        <f t="shared" si="4"/>
        <v>10000</v>
      </c>
      <c r="S16" s="14">
        <v>2</v>
      </c>
      <c r="T16" s="14">
        <v>4</v>
      </c>
      <c r="U16" s="15" t="s">
        <v>22</v>
      </c>
    </row>
    <row r="17" spans="1:21">
      <c r="A17" s="11">
        <v>1008</v>
      </c>
      <c r="B17" s="12" t="s">
        <v>41</v>
      </c>
      <c r="C17" s="12">
        <v>3</v>
      </c>
      <c r="D17" s="13">
        <v>9</v>
      </c>
      <c r="E17" s="14">
        <v>3800</v>
      </c>
      <c r="F17" s="14">
        <v>0</v>
      </c>
      <c r="G17" s="14">
        <f t="shared" si="6"/>
        <v>760</v>
      </c>
      <c r="H17" s="14">
        <v>999</v>
      </c>
      <c r="I17" s="14">
        <f t="shared" si="5"/>
        <v>0</v>
      </c>
      <c r="J17" s="14">
        <v>2</v>
      </c>
      <c r="K17" s="14">
        <v>4</v>
      </c>
      <c r="L17" s="14">
        <f t="shared" si="2"/>
        <v>0</v>
      </c>
      <c r="M17" s="14">
        <v>2</v>
      </c>
      <c r="N17" s="14">
        <v>4</v>
      </c>
      <c r="O17" s="14">
        <f t="shared" si="3"/>
        <v>5000</v>
      </c>
      <c r="P17" s="14">
        <v>2</v>
      </c>
      <c r="Q17" s="14">
        <v>4</v>
      </c>
      <c r="R17" s="14">
        <f t="shared" si="4"/>
        <v>10000</v>
      </c>
      <c r="S17" s="14">
        <v>2</v>
      </c>
      <c r="T17" s="14">
        <v>4</v>
      </c>
      <c r="U17" s="15" t="s">
        <v>22</v>
      </c>
    </row>
    <row r="18" spans="1:21">
      <c r="A18" s="11">
        <v>1009</v>
      </c>
      <c r="B18" s="12" t="s">
        <v>42</v>
      </c>
      <c r="C18" s="12">
        <v>4</v>
      </c>
      <c r="D18" s="13">
        <v>10</v>
      </c>
      <c r="E18" s="14">
        <v>4200</v>
      </c>
      <c r="F18" s="14">
        <v>0</v>
      </c>
      <c r="G18" s="14">
        <f t="shared" si="6"/>
        <v>840</v>
      </c>
      <c r="H18" s="14">
        <v>999</v>
      </c>
      <c r="I18" s="14">
        <f t="shared" si="5"/>
        <v>0</v>
      </c>
      <c r="J18" s="14">
        <v>2</v>
      </c>
      <c r="K18" s="14">
        <v>4</v>
      </c>
      <c r="L18" s="14">
        <f t="shared" si="2"/>
        <v>0</v>
      </c>
      <c r="M18" s="14">
        <v>2</v>
      </c>
      <c r="N18" s="14">
        <v>4</v>
      </c>
      <c r="O18" s="14">
        <f t="shared" si="3"/>
        <v>0</v>
      </c>
      <c r="P18" s="14">
        <v>2</v>
      </c>
      <c r="Q18" s="14">
        <v>4</v>
      </c>
      <c r="R18" s="14">
        <f t="shared" si="4"/>
        <v>5000</v>
      </c>
      <c r="S18" s="14">
        <v>2</v>
      </c>
      <c r="T18" s="14">
        <v>4</v>
      </c>
      <c r="U18" s="15" t="s">
        <v>22</v>
      </c>
    </row>
    <row r="19" spans="1:21">
      <c r="A19" s="11">
        <v>1010</v>
      </c>
      <c r="B19" s="12" t="s">
        <v>43</v>
      </c>
      <c r="C19" s="12">
        <v>4</v>
      </c>
      <c r="D19" s="13">
        <v>11</v>
      </c>
      <c r="E19" s="14">
        <v>4600</v>
      </c>
      <c r="F19" s="14">
        <v>0</v>
      </c>
      <c r="G19" s="14">
        <f t="shared" si="6"/>
        <v>920</v>
      </c>
      <c r="H19" s="14">
        <v>999</v>
      </c>
      <c r="I19" s="14">
        <f t="shared" si="5"/>
        <v>0</v>
      </c>
      <c r="J19" s="14">
        <v>2</v>
      </c>
      <c r="K19" s="14">
        <v>4</v>
      </c>
      <c r="L19" s="14">
        <f t="shared" si="2"/>
        <v>0</v>
      </c>
      <c r="M19" s="14">
        <v>2</v>
      </c>
      <c r="N19" s="14">
        <v>4</v>
      </c>
      <c r="O19" s="14">
        <f t="shared" si="3"/>
        <v>0</v>
      </c>
      <c r="P19" s="14">
        <v>2</v>
      </c>
      <c r="Q19" s="14">
        <v>4</v>
      </c>
      <c r="R19" s="14">
        <f t="shared" si="4"/>
        <v>5000</v>
      </c>
      <c r="S19" s="14">
        <v>2</v>
      </c>
      <c r="T19" s="14">
        <v>4</v>
      </c>
      <c r="U19" s="15" t="s">
        <v>22</v>
      </c>
    </row>
    <row r="20" spans="1:21">
      <c r="A20" s="11">
        <v>1011</v>
      </c>
      <c r="B20" s="12" t="s">
        <v>44</v>
      </c>
      <c r="C20" s="12">
        <v>5</v>
      </c>
      <c r="D20" s="13">
        <v>12</v>
      </c>
      <c r="E20" s="14">
        <v>5000</v>
      </c>
      <c r="F20" s="14">
        <v>0</v>
      </c>
      <c r="G20" s="14">
        <f t="shared" si="6"/>
        <v>1000</v>
      </c>
      <c r="H20" s="14">
        <v>999</v>
      </c>
      <c r="I20" s="14">
        <f t="shared" si="5"/>
        <v>0</v>
      </c>
      <c r="J20" s="14">
        <v>2</v>
      </c>
      <c r="K20" s="14">
        <v>4</v>
      </c>
      <c r="L20" s="14">
        <f t="shared" si="2"/>
        <v>0</v>
      </c>
      <c r="M20" s="14">
        <v>2</v>
      </c>
      <c r="N20" s="14">
        <v>4</v>
      </c>
      <c r="O20" s="14">
        <f t="shared" si="3"/>
        <v>0</v>
      </c>
      <c r="P20" s="14">
        <v>2</v>
      </c>
      <c r="Q20" s="14">
        <v>4</v>
      </c>
      <c r="R20" s="14">
        <f t="shared" si="4"/>
        <v>0</v>
      </c>
      <c r="S20" s="14">
        <v>2</v>
      </c>
      <c r="T20" s="14">
        <v>4</v>
      </c>
      <c r="U20" s="15" t="s">
        <v>22</v>
      </c>
    </row>
    <row r="21" spans="1:21">
      <c r="A21" s="11">
        <v>1012</v>
      </c>
      <c r="B21" s="12" t="s">
        <v>45</v>
      </c>
      <c r="C21" s="12">
        <v>5</v>
      </c>
      <c r="D21" s="13">
        <v>13</v>
      </c>
      <c r="E21" s="14">
        <v>5400</v>
      </c>
      <c r="F21" s="14">
        <v>0</v>
      </c>
      <c r="G21" s="14">
        <f t="shared" si="6"/>
        <v>1080</v>
      </c>
      <c r="H21" s="14">
        <v>999</v>
      </c>
      <c r="I21" s="14">
        <f t="shared" si="5"/>
        <v>0</v>
      </c>
      <c r="J21" s="14">
        <v>2</v>
      </c>
      <c r="K21" s="14">
        <v>4</v>
      </c>
      <c r="L21" s="14">
        <f t="shared" si="2"/>
        <v>0</v>
      </c>
      <c r="M21" s="14">
        <v>2</v>
      </c>
      <c r="N21" s="14">
        <v>4</v>
      </c>
      <c r="O21" s="14">
        <f t="shared" si="3"/>
        <v>0</v>
      </c>
      <c r="P21" s="14">
        <v>2</v>
      </c>
      <c r="Q21" s="14">
        <v>4</v>
      </c>
      <c r="R21" s="14">
        <f t="shared" si="4"/>
        <v>0</v>
      </c>
      <c r="S21" s="14">
        <v>2</v>
      </c>
      <c r="T21" s="14">
        <v>4</v>
      </c>
      <c r="U21" s="15" t="s">
        <v>22</v>
      </c>
    </row>
    <row r="22" spans="1:21">
      <c r="A22" s="11">
        <v>1013</v>
      </c>
      <c r="B22" s="12" t="s">
        <v>46</v>
      </c>
      <c r="C22" s="12">
        <v>4</v>
      </c>
      <c r="D22" s="13">
        <v>14</v>
      </c>
      <c r="E22" s="14">
        <v>5800</v>
      </c>
      <c r="F22" s="14">
        <v>0</v>
      </c>
      <c r="G22" s="14">
        <f t="shared" si="6"/>
        <v>1160</v>
      </c>
      <c r="H22" s="14">
        <v>1</v>
      </c>
      <c r="I22" s="14">
        <f t="shared" si="5"/>
        <v>0</v>
      </c>
      <c r="J22" s="14">
        <v>1</v>
      </c>
      <c r="K22" s="14">
        <v>1</v>
      </c>
      <c r="L22" s="14">
        <f t="shared" si="2"/>
        <v>0</v>
      </c>
      <c r="M22" s="14">
        <v>1</v>
      </c>
      <c r="N22" s="14">
        <v>1</v>
      </c>
      <c r="O22" s="14">
        <f t="shared" si="3"/>
        <v>0</v>
      </c>
      <c r="P22" s="14">
        <v>1</v>
      </c>
      <c r="Q22" s="14">
        <v>1</v>
      </c>
      <c r="R22" s="14">
        <f t="shared" si="4"/>
        <v>5000</v>
      </c>
      <c r="S22" s="14">
        <v>1</v>
      </c>
      <c r="T22" s="14">
        <v>1</v>
      </c>
      <c r="U22" s="15" t="s">
        <v>22</v>
      </c>
    </row>
    <row r="23" spans="1:21">
      <c r="A23" s="11">
        <v>1014</v>
      </c>
      <c r="B23" s="12" t="s">
        <v>47</v>
      </c>
      <c r="C23" s="12">
        <v>4</v>
      </c>
      <c r="D23" s="13">
        <v>15</v>
      </c>
      <c r="E23" s="14">
        <v>6200</v>
      </c>
      <c r="F23" s="14">
        <v>0</v>
      </c>
      <c r="G23" s="14">
        <f t="shared" si="6"/>
        <v>1240</v>
      </c>
      <c r="H23" s="14">
        <v>1</v>
      </c>
      <c r="I23" s="14">
        <f t="shared" si="5"/>
        <v>0</v>
      </c>
      <c r="J23" s="14">
        <v>1</v>
      </c>
      <c r="K23" s="14">
        <v>1</v>
      </c>
      <c r="L23" s="14">
        <f t="shared" si="2"/>
        <v>0</v>
      </c>
      <c r="M23" s="14">
        <v>1</v>
      </c>
      <c r="N23" s="14">
        <v>1</v>
      </c>
      <c r="O23" s="14">
        <f t="shared" si="3"/>
        <v>0</v>
      </c>
      <c r="P23" s="14">
        <v>1</v>
      </c>
      <c r="Q23" s="14">
        <v>1</v>
      </c>
      <c r="R23" s="14">
        <f t="shared" si="4"/>
        <v>5000</v>
      </c>
      <c r="S23" s="14">
        <v>1</v>
      </c>
      <c r="T23" s="14">
        <v>1</v>
      </c>
      <c r="U23" s="15" t="s">
        <v>22</v>
      </c>
    </row>
    <row r="24" spans="1:21">
      <c r="A24" s="11">
        <v>1015</v>
      </c>
      <c r="B24" s="12" t="s">
        <v>48</v>
      </c>
      <c r="C24" s="12">
        <v>5</v>
      </c>
      <c r="D24" s="13">
        <v>16</v>
      </c>
      <c r="E24" s="14">
        <v>6600</v>
      </c>
      <c r="F24" s="14">
        <v>0</v>
      </c>
      <c r="G24" s="14">
        <f t="shared" si="6"/>
        <v>1320</v>
      </c>
      <c r="H24" s="14">
        <v>1</v>
      </c>
      <c r="I24" s="14">
        <f t="shared" si="5"/>
        <v>0</v>
      </c>
      <c r="J24" s="14">
        <v>1</v>
      </c>
      <c r="K24" s="14">
        <v>1</v>
      </c>
      <c r="L24" s="14">
        <f t="shared" si="2"/>
        <v>0</v>
      </c>
      <c r="M24" s="14">
        <v>1</v>
      </c>
      <c r="N24" s="14">
        <v>1</v>
      </c>
      <c r="O24" s="14">
        <f t="shared" si="3"/>
        <v>0</v>
      </c>
      <c r="P24" s="14">
        <v>1</v>
      </c>
      <c r="Q24" s="14">
        <v>1</v>
      </c>
      <c r="R24" s="14">
        <f t="shared" si="4"/>
        <v>0</v>
      </c>
      <c r="S24" s="14">
        <v>1</v>
      </c>
      <c r="T24" s="14">
        <v>1</v>
      </c>
      <c r="U24" s="15" t="s">
        <v>22</v>
      </c>
    </row>
    <row r="25" spans="1:21">
      <c r="A25" s="11">
        <v>1016</v>
      </c>
      <c r="B25" s="12" t="s">
        <v>49</v>
      </c>
      <c r="C25" s="12">
        <v>5</v>
      </c>
      <c r="D25" s="13">
        <v>17</v>
      </c>
      <c r="E25" s="14">
        <v>7000</v>
      </c>
      <c r="F25" s="14">
        <v>0</v>
      </c>
      <c r="G25" s="14">
        <f t="shared" si="6"/>
        <v>1400</v>
      </c>
      <c r="H25" s="14">
        <v>1</v>
      </c>
      <c r="I25" s="14">
        <f t="shared" si="5"/>
        <v>0</v>
      </c>
      <c r="J25" s="14">
        <v>1</v>
      </c>
      <c r="K25" s="14">
        <v>1</v>
      </c>
      <c r="L25" s="14">
        <f t="shared" si="2"/>
        <v>0</v>
      </c>
      <c r="M25" s="14">
        <v>1</v>
      </c>
      <c r="N25" s="14">
        <v>1</v>
      </c>
      <c r="O25" s="14">
        <f t="shared" si="3"/>
        <v>0</v>
      </c>
      <c r="P25" s="14">
        <v>1</v>
      </c>
      <c r="Q25" s="14">
        <v>1</v>
      </c>
      <c r="R25" s="14">
        <f t="shared" si="4"/>
        <v>0</v>
      </c>
      <c r="S25" s="14">
        <v>1</v>
      </c>
      <c r="T25" s="14">
        <v>1</v>
      </c>
      <c r="U25" s="15" t="s">
        <v>22</v>
      </c>
    </row>
  </sheetData>
  <sortState ref="A2:AK291">
    <sortCondition ref="A2:A291"/>
  </sortState>
  <conditionalFormatting sqref="A2:A25">
    <cfRule type="duplicateValues" dxfId="0" priority="1184"/>
  </conditionalFormatting>
  <conditionalFormatting sqref="B2:B25">
    <cfRule type="expression" dxfId="1" priority="1">
      <formula>C2=5</formula>
    </cfRule>
    <cfRule type="expression" dxfId="2" priority="2">
      <formula>C2=4</formula>
    </cfRule>
    <cfRule type="expression" dxfId="3" priority="3">
      <formula>C2=3</formula>
    </cfRule>
    <cfRule type="expression" dxfId="4" priority="4">
      <formula>C2=2</formula>
    </cfRule>
    <cfRule type="expression" dxfId="5" priority="5">
      <formula>C2=1</formula>
    </cfRule>
    <cfRule type="expression" dxfId="6" priority="6">
      <formula>C2=0</formula>
    </cfRule>
  </conditionalFormatting>
  <conditionalFormatting sqref="C2:C25">
    <cfRule type="cellIs" dxfId="7" priority="18" operator="equal">
      <formula>5</formula>
    </cfRule>
    <cfRule type="cellIs" dxfId="8" priority="19" operator="equal">
      <formula>4</formula>
    </cfRule>
    <cfRule type="cellIs" dxfId="9" priority="20" operator="equal">
      <formula>3</formula>
    </cfRule>
    <cfRule type="cellIs" dxfId="10" priority="21" operator="equal">
      <formula>2</formula>
    </cfRule>
    <cfRule type="cellIs" dxfId="11" priority="22" operator="equal">
      <formula>1</formula>
    </cfRule>
    <cfRule type="cellIs" dxfId="12" priority="23" operator="equal">
      <formula>0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老比样</cp:lastModifiedBy>
  <dcterms:created xsi:type="dcterms:W3CDTF">2014-04-30T08:12:00Z</dcterms:created>
  <dcterms:modified xsi:type="dcterms:W3CDTF">2017-11-20T10:05:27Z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